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216aeadec9fac06/Documents/"/>
    </mc:Choice>
  </mc:AlternateContent>
  <xr:revisionPtr revIDLastSave="43" documentId="8_{A52E28E3-4F04-417D-ACE7-FBBB977773FE}" xr6:coauthVersionLast="47" xr6:coauthVersionMax="47" xr10:uidLastSave="{4B1BF129-DDCE-48E2-91AF-5A9B7AA4C040}"/>
  <bookViews>
    <workbookView xWindow="-120" yWindow="-120" windowWidth="38640" windowHeight="21840" activeTab="7" xr2:uid="{00000000-000D-0000-FFFF-FFFF00000000}"/>
  </bookViews>
  <sheets>
    <sheet name="Meals_Weekly_Pattern" sheetId="1" r:id="rId1"/>
    <sheet name="Meal_Library" sheetId="2" r:id="rId2"/>
    <sheet name="Meals_3Day_Plan" sheetId="3" r:id="rId3"/>
    <sheet name="Templates" sheetId="4" r:id="rId4"/>
    <sheet name="Week 1" sheetId="5" r:id="rId5"/>
    <sheet name="Week 2" sheetId="6" r:id="rId6"/>
    <sheet name="Week 3" sheetId="7" r:id="rId7"/>
    <sheet name="Week 4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6" i="8"/>
  <c r="B5" i="8"/>
  <c r="B11" i="7"/>
  <c r="B10" i="7"/>
  <c r="B9" i="7"/>
  <c r="B8" i="7"/>
  <c r="B7" i="7"/>
  <c r="B6" i="7"/>
  <c r="B5" i="7"/>
  <c r="B11" i="6"/>
  <c r="B10" i="6"/>
  <c r="B9" i="6"/>
  <c r="B8" i="6"/>
  <c r="B7" i="6"/>
  <c r="B6" i="6"/>
  <c r="B5" i="6"/>
  <c r="B11" i="5"/>
  <c r="B10" i="5"/>
  <c r="B9" i="5"/>
  <c r="B8" i="5"/>
  <c r="B7" i="5"/>
  <c r="B6" i="5"/>
  <c r="B5" i="5"/>
  <c r="H10" i="1"/>
  <c r="G10" i="1"/>
  <c r="F10" i="1"/>
  <c r="E10" i="1"/>
  <c r="D10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5" i="1"/>
  <c r="G5" i="1"/>
  <c r="F5" i="1"/>
  <c r="E5" i="1"/>
  <c r="D5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<sst xmlns="http://schemas.openxmlformats.org/spreadsheetml/2006/main" count="883" uniqueCount="279">
  <si>
    <t>Weekly Meals Planner (auto-fills from Meal_Library)</t>
  </si>
  <si>
    <t>Change Day Type via dropdown to auto-fill meals. Default pattern matches your Mon–Sun training week.</t>
  </si>
  <si>
    <t>Day</t>
  </si>
  <si>
    <t>Day Type</t>
  </si>
  <si>
    <t>Portion</t>
  </si>
  <si>
    <t>Breakfast</t>
  </si>
  <si>
    <t>Snack</t>
  </si>
  <si>
    <t>Lunch / Pre</t>
  </si>
  <si>
    <t>Post</t>
  </si>
  <si>
    <t>Dinner</t>
  </si>
  <si>
    <t>Monday</t>
  </si>
  <si>
    <t>Ruck</t>
  </si>
  <si>
    <t>Standard</t>
  </si>
  <si>
    <t>Tuesday</t>
  </si>
  <si>
    <t>Strength</t>
  </si>
  <si>
    <t>Wednesday</t>
  </si>
  <si>
    <t>Swim</t>
  </si>
  <si>
    <t>Thursday</t>
  </si>
  <si>
    <t>Friday</t>
  </si>
  <si>
    <t>Saturday</t>
  </si>
  <si>
    <t>Rest/Recovery</t>
  </si>
  <si>
    <t>Sunday</t>
  </si>
  <si>
    <t>Cycle</t>
  </si>
  <si>
    <t>Portion guidance</t>
  </si>
  <si>
    <t>Small = lighter day / lower hunger • Standard = default steady cut • Big = long/hard day (increase carbs at breakfast + recovery meal)</t>
  </si>
  <si>
    <t>Meal Library (edit text here to update the weekly planner)</t>
  </si>
  <si>
    <t>Notes</t>
  </si>
  <si>
    <t>Overnight oats (Long‑day): ¾c oats + milk + yogurt + berries/banana + chia OR flax + cinnamon (optional whey)</t>
  </si>
  <si>
    <t>10am top‑off: 2 energy balls OR banana OR Greek yogurt + berries</t>
  </si>
  <si>
    <t>12pm fuel: Chicken + rice + veggies bowl (light salt; vinegar/lime)</t>
  </si>
  <si>
    <t>3–4pm recovery: Tuna + Greek‑yogurt bowl (or chicken+rice/beans if very depleted)</t>
  </si>
  <si>
    <t>6pm dinner: Bean/lentil chili + big salad (finish by ~7pm)</t>
  </si>
  <si>
    <t>Start fueling 30–45 min in; sweet snacks OK; keep sodium lower at dinner if you used salty intra fuel.</t>
  </si>
  <si>
    <t>Egg scramble + spinach/onion/peppers + mini oats (½c) OR toast</t>
  </si>
  <si>
    <t>Greek yogurt + berries + cinnamon</t>
  </si>
  <si>
    <t>Power bowl: Beans + rice + chicken + homemade salsa</t>
  </si>
  <si>
    <t>Whey shake: 1 scoop + milk/soy + berries (add ¼c oats if hungry)</t>
  </si>
  <si>
    <t>Chicken thighs + roasted veggies (+ small carb if depleted)</t>
  </si>
  <si>
    <t>Focus protein; avoid heavy/fried fats pre‑lift.</t>
  </si>
  <si>
    <t>Overnight oats (Light): ½c oats + milk + yogurt + berries + chia OR flax</t>
  </si>
  <si>
    <t>Optional pre‑swim: banana (optional 1 tbsp PB)</t>
  </si>
  <si>
    <t>Lentil salad bowl (+ tuna/chicken if desired)</t>
  </si>
  <si>
    <t>Energy balls if hungry</t>
  </si>
  <si>
    <t>Tuna Mediterranean plate + big salad (small carb if needed)</t>
  </si>
  <si>
    <t>Keep it light before swim; refuel after.</t>
  </si>
  <si>
    <t>Overnight oats (Long‑day) OR eggs + toast + fruit (savory option)</t>
  </si>
  <si>
    <t>10am top‑off: 2 energy balls OR banana</t>
  </si>
  <si>
    <t>Pre: Rice + chicken bowl (or beans+rice if tolerated)</t>
  </si>
  <si>
    <t>Post: Whey shake + berries</t>
  </si>
  <si>
    <t>Dinner: Protein + veggies + carb as needed</t>
  </si>
  <si>
    <t>For 5–6h rides: steady sipping + snacks every 20–30 min.</t>
  </si>
  <si>
    <t>Overnight oats (Light) OR eggs + veg</t>
  </si>
  <si>
    <t>Fruit + Greek yogurt (or skip if not hungry)</t>
  </si>
  <si>
    <t>Big salad + beans/lentils + tuna/chicken</t>
  </si>
  <si>
    <t>Optional: whey only if protein is low</t>
  </si>
  <si>
    <t>Protein + veggies; carbs lower/moderate</t>
  </si>
  <si>
    <t>Lower sodium, higher veggies/fiber.</t>
  </si>
  <si>
    <t>3‑Day Meal Plan (Steady Cut) — Meals &amp; Recipes</t>
  </si>
  <si>
    <t>Scope</t>
  </si>
  <si>
    <t>Meals only: recipes, macros, groceries, restaurant ordering. Built for endurance + strength with 11am long-day starts and last calories by ~7pm.</t>
  </si>
  <si>
    <t>Daily Timing</t>
  </si>
  <si>
    <t>Time</t>
  </si>
  <si>
    <t>Action</t>
  </si>
  <si>
    <t>6:00am</t>
  </si>
  <si>
    <t>Water (20 oz)</t>
  </si>
  <si>
    <t>6:30–7:00am</t>
  </si>
  <si>
    <t>Breakfast (overnight oats)</t>
  </si>
  <si>
    <t>10:00am</t>
  </si>
  <si>
    <t>Top‑off snack (2 energy balls OR banana OR Greek yogurt + berries)</t>
  </si>
  <si>
    <t>11:00am</t>
  </si>
  <si>
    <t>Start long hike/cycle — sip drink mix early; start snacks 30–45 min in</t>
  </si>
  <si>
    <t>2:00–3:00pm</t>
  </si>
  <si>
    <t>Finish — rehydrate; Recovery Meal</t>
  </si>
  <si>
    <t>5:00pm</t>
  </si>
  <si>
    <t>Optional protein snack (whey shake or Greek yogurt)</t>
  </si>
  <si>
    <t>6:00–6:30pm</t>
  </si>
  <si>
    <t>Dinner (finish by 6:45–7:00pm)</t>
  </si>
  <si>
    <t>Night</t>
  </si>
  <si>
    <t>Chamomile or lemon balm tea (no sweeteners)</t>
  </si>
  <si>
    <t>3‑Day Plan</t>
  </si>
  <si>
    <t>Meals (summary)</t>
  </si>
  <si>
    <t>Day 1 (Mon) — Ruck day</t>
  </si>
  <si>
    <t>Breakfast: Overnight oats (Long‑day)
Snack: 2 energy balls
Lunch (pre‑ruck): Chicken + rice + veggies bowl
Post: Tuna + Greek‑yogurt salad bowl
Dinner: Instant Pot bean/lentil chili + salad</t>
  </si>
  <si>
    <t>Day 2 (Tue) — Strength day</t>
  </si>
  <si>
    <t>Breakfast: Eggs + spinach scramble + mini oats
Snack: Greek yogurt + berries
Lunch (pre‑lift): Beans + rice + chicken power bowl + homemade salsa
Post‑lift: Whey shake + berries (add oats if hungry)
Dinner: Air‑fryer/oven chicken thighs + roasted veggies (+ small carb if depleted)</t>
  </si>
  <si>
    <t>Day 3 (Wed) — Swim + walk day</t>
  </si>
  <si>
    <t>Breakfast: Overnight oats (Light)
Pre‑swim snack: Banana (optional 1 tbsp PB)
Lunch: Lentil salad bowl (add tuna/chicken if desired)
Snack: Energy balls if hungry
Dinner: Tuna Mediterranean plate + big salad (add small carb if needed)</t>
  </si>
  <si>
    <t>Fine‑tunes</t>
  </si>
  <si>
    <t>• Use thighs for meal prep (juicy, reheats well).
• Make one blender salsa batch for the next 3 days.
• Choose high‑protein milk (ultrafiltered dairy or unsweet soy).
• Keep ACV mainly as a dressing ingredient.
• Night tea: chamomile (or lemon balm).</t>
  </si>
  <si>
    <t>Recipes (details)</t>
  </si>
  <si>
    <t>Overnight Oats — Long‑day (more fuel)</t>
  </si>
  <si>
    <t>• ¾ cup rolled oats + 1 cup high‑protein milk (ultrafiltered dairy OR unsweet soy)
• ½ cup plain/Greek yogurt + 1 cup berries (or 1 banana)
• 1 tbsp chia OR flax + cinnamon
• Optional: 1 scoop whey mixed in</t>
  </si>
  <si>
    <t>Overnight Oats — Light/rest version</t>
  </si>
  <si>
    <t>• ½ cup oats + ¾–1 cup milk + ½ cup yogurt
• ½–1 cup berries + 1 tbsp chia OR flax + cinnamon
• Optional: 1 tbsp peanut butter (measure it)</t>
  </si>
  <si>
    <t>Freezer Energy Balls (no‑bake, ~18 balls)</t>
  </si>
  <si>
    <t>• 2 cups oats; 1 cup natural peanut butter; ½ cup ground flax OR chia
• ⅓ cup honey/maple; 1 tsp cinnamon; pinch salt
• Optional: 1 scoop whey; optional mini dark choc chips or dried berries
• Mix → roll balls → freeze 30–60 min → store freezer/fridge
• Trail use: 1 ball every 20–30 min (or 2 balls every 40–60 min)</t>
  </si>
  <si>
    <t>Chicken — best cuts</t>
  </si>
  <si>
    <t>• Default: boneless skinless thighs (juicy; reheat well).
• Leaner: breast (use thermometer + don’t overcook).</t>
  </si>
  <si>
    <t>Chicken — cooking methods (juicy, meal prep friendly)</t>
  </si>
  <si>
    <t>• Oven roast/bake: 400°F — thighs 20–25 min; breast 18–22 min.
• Air fryer: similar timing; check early.
• Grill: great flavor; thighs are most forgiving.
• Thermometer: pull breast at 165°F; thighs taste best 170–175°F; rest 5–10 min.</t>
  </si>
  <si>
    <t>Marinade #1 — Lemon‑Garlic Herb</t>
  </si>
  <si>
    <t>• 2 tbsp olive oil + 2 tbsp lemon juice (+ zest)
• 2–3 garlic cloves (or 1 tsp garlic powder)
• 1 tsp oregano + 1 tsp paprika + black pepper
• Optional: pinch salt. Marinate 30 min–overnight.</t>
  </si>
  <si>
    <t>Marinade #2 — Smoky Taco Bowl</t>
  </si>
  <si>
    <t>• 2 tbsp olive oil + 2 tbsp lime juice
• 1–2 tsp cumin + 1 tsp smoked paprika + ½–1 tsp chili powder
• ½ tsp garlic powder + black pepper
• Optional: pinch salt. Marinate 30 min–overnight.</t>
  </si>
  <si>
    <t>Homemade Salsa (spicy but not extreme) — Blender</t>
  </si>
  <si>
    <t>• 1 can fire‑roasted tomatoes (no‑salt‑added if possible)
• ½ onion + 1–2 garlic cloves + juice of 1 lime
• ½ bunch cilantro (optional) + ½ tsp cumin + black pepper
• ½ jalapeño, seeds removed (use 1 for hotter). Blend briefly.</t>
  </si>
  <si>
    <t>Milk options (choose high‑protein, low sugar)</t>
  </si>
  <si>
    <t>• Best dairy: ultrafiltered/high‑protein (skim or 1%).
• Best plant: unsweetened soy (highest protein).
• Almond milk ok but low protein; avoid rice milk (higher carbs, low protein).</t>
  </si>
  <si>
    <t>Post‑lift recovery shake (ON Gold Standard Whey)</t>
  </si>
  <si>
    <t>• 1 scoop whey + 12–16 oz milk/soy + 1–1.5 cups frozen berries
• Optional: ¼ cup oats if you’re hungry or session was hard.</t>
  </si>
  <si>
    <t>Apple Cider Vinegar (Bragg) — safe use</t>
  </si>
  <si>
    <t>• Best: use as dressing (1–2 tbsp) with olive oil + mustard + herbs.
• If drinking: 1–2 tsp in a large glass of water; do not sip straight (protect teeth).
• Avoid if it worsens reflux/heartburn.</t>
  </si>
  <si>
    <t>Nighttime beverage (natural, relaxing)</t>
  </si>
  <si>
    <t>• Chamomile tea (best default).
• Lemon balm tea (deeper relaxation).
• Ginger or peppermint tea (peppermint can worsen reflux for some).
• No sweeteners; make it a consistent wind‑down ritual.</t>
  </si>
  <si>
    <t>Adrian — Master Training Templates (Whitney-focused)</t>
  </si>
  <si>
    <t>Warm-ups (copy/paste as needed)</t>
  </si>
  <si>
    <t>Ruck / Walk (8–10 min)</t>
  </si>
  <si>
    <t>• 3 min easy walk
• 10 ankle circles each direction/side
• 10 ankle rocks (knee over toes gently)
• 10 slow calf raises
• 8–10 glute bridges
• 8–10 hip hinges
• Pack fit check: hip belt first, load high/close</t>
  </si>
  <si>
    <t>Strength (6–8 min)</t>
  </si>
  <si>
    <t>• 3 min easy cardio (bike / incline walk)
• 2 rounds: 8 bodyweight squats to a box (shallow), 10 band pull-aparts, 10 hip hinges
• 1 warm-up set for first 2 lifts</t>
  </si>
  <si>
    <t>Swim (5–8 min)</t>
  </si>
  <si>
    <t>• 2–4 lengths very easy
• 2 lengths backstroke (optional)
• 2 x 20 sec relaxed exhale practice in shallow end</t>
  </si>
  <si>
    <t>Cycling (8–10 min)</t>
  </si>
  <si>
    <t>• 5 min easy spin
• 3 x 30 sec faster cadence (easy effort) with 60 sec easy between
• Start main ride only after breathing feels calm</t>
  </si>
  <si>
    <t>Cool-downs (copy/paste as needed)</t>
  </si>
  <si>
    <t>Ruck / Walk (8–12 min)</t>
  </si>
  <si>
    <t>• 8–10 min easy walk
• Calf stretch (straight knee) 45 sec/side
• Soleus stretch (bent knee) 45 sec/side
• 3–5 slow breaths (exhale 4–6 sec)</t>
  </si>
  <si>
    <t>Strength (5–8 min)</t>
  </si>
  <si>
    <t>• 3–5 min easy walk
• Upper back stretch 30–45 sec
• Hip flexor stretch 30–45 sec/side</t>
  </si>
  <si>
    <t>Swim (5 min)</t>
  </si>
  <si>
    <t>• 2–4 easy lengths
• Shoulder/chest opener 30–45 sec
• Calf stretch 30–45 sec/side</t>
  </si>
  <si>
    <t>Cycling (6–10 min)</t>
  </si>
  <si>
    <t>• 5–8 min easy spin
• Calf + hip flexor stretch 45 sec/side</t>
  </si>
  <si>
    <t>Massage &amp; Recovery Tools (10–15 min typical)</t>
  </si>
  <si>
    <t>After ruck (best ROI):
1) Foot massager: 2–5 min/foot
2) Foam roller: calves 60–90s/side → quads 60s/side → glutes 60s/side → upper back 60s
3) Massage stick: calves/Achilles area 60s/side + shins 30–45s/side (gentle)
Before workouts (optional):
• 30–60 sec light rolling on calves/feet if stiff, then warm-up
Recovery days (yes):
• Keep it light (5–10 min). Goal = feel better, not bruised.</t>
  </si>
  <si>
    <t>Breathing (Whitney-style)</t>
  </si>
  <si>
    <t>• Zone 2 default: conversational pace (full sentences)
• Pressure-breath on climbs: inhale 2–3 sec, exhale 4–6 sec
• Cadence cue: small steps, tall chest, soft shoulders
• If you feel panicky at altitude: slow down, lengthen exhale, keep moving steadily.</t>
  </si>
  <si>
    <t>HR Zones (fill after 1–2 HRM 200 sessions)</t>
  </si>
  <si>
    <t>Enter your zones here once you have data (we'll help you set these).</t>
  </si>
  <si>
    <t>Zone</t>
  </si>
  <si>
    <t>Description</t>
  </si>
  <si>
    <t>HR Range (bpm)</t>
  </si>
  <si>
    <t>Z1</t>
  </si>
  <si>
    <t>Recovery / very easy</t>
  </si>
  <si>
    <t>Z2</t>
  </si>
  <si>
    <t>Base / conversational</t>
  </si>
  <si>
    <t>Most rucks/walks/rides here</t>
  </si>
  <si>
    <t>Z3</t>
  </si>
  <si>
    <t>Steady / moderate</t>
  </si>
  <si>
    <t>Z4</t>
  </si>
  <si>
    <t>Hard intervals</t>
  </si>
  <si>
    <t>Z5</t>
  </si>
  <si>
    <t>Max / very hard</t>
  </si>
  <si>
    <t>Week 1 — Whitney Prep (Training Log)</t>
  </si>
  <si>
    <t>Week start (Mon):</t>
  </si>
  <si>
    <t>Pack target (lb):</t>
  </si>
  <si>
    <t>18–20</t>
  </si>
  <si>
    <t>Sleep target:</t>
  </si>
  <si>
    <t>8h (aim 10:00pm)</t>
  </si>
  <si>
    <t>Notes:</t>
  </si>
  <si>
    <t>Date</t>
  </si>
  <si>
    <t>Start</t>
  </si>
  <si>
    <t>Planned Session</t>
  </si>
  <si>
    <t>Location/Route</t>
  </si>
  <si>
    <t>Plan Duration</t>
  </si>
  <si>
    <t>Plan Dist</t>
  </si>
  <si>
    <t>Pack (lb)</t>
  </si>
  <si>
    <t>Intensity / Focus</t>
  </si>
  <si>
    <t>Warm-up</t>
  </si>
  <si>
    <t>Cool-down</t>
  </si>
  <si>
    <t>Actual Duration</t>
  </si>
  <si>
    <t>Actual Dist</t>
  </si>
  <si>
    <t>Avg HR</t>
  </si>
  <si>
    <t>Max HR</t>
  </si>
  <si>
    <t>RPE</t>
  </si>
  <si>
    <t>Ailments/Notes</t>
  </si>
  <si>
    <t>Mon</t>
  </si>
  <si>
    <t>1:00 PM</t>
  </si>
  <si>
    <t>Ruck — Hill time (steady)</t>
  </si>
  <si>
    <t>Arroyo Verde (choose smooth climbs)</t>
  </si>
  <si>
    <t>75–90 min</t>
  </si>
  <si>
    <t>N/A (time-based)</t>
  </si>
  <si>
    <t>Conversational; slow on descents</t>
  </si>
  <si>
    <t>Templates: Ruck/Walk</t>
  </si>
  <si>
    <t>Tue</t>
  </si>
  <si>
    <t>3PM</t>
  </si>
  <si>
    <t>YMCA Strength — Upper + carries + core</t>
  </si>
  <si>
    <t>Ventura YMCA</t>
  </si>
  <si>
    <t>60–75 min</t>
  </si>
  <si>
    <t>RIR 2 (leave 2 reps in reserve)</t>
  </si>
  <si>
    <t>Templates: Strength</t>
  </si>
  <si>
    <t>1 Hour 45 Minutes</t>
  </si>
  <si>
    <t>Wed</t>
  </si>
  <si>
    <t>10:00 AM</t>
  </si>
  <si>
    <t>Swim (technique + easy aerobic) + PM brisk walk</t>
  </si>
  <si>
    <t>YMCA pool + flat route</t>
  </si>
  <si>
    <t>60 min swim + 45–75 min walk (2pm)</t>
  </si>
  <si>
    <t>Easy aerobic + recovery walk</t>
  </si>
  <si>
    <t>Templates: Swim / Walk</t>
  </si>
  <si>
    <t>Thu</t>
  </si>
  <si>
    <t>1PM</t>
  </si>
  <si>
    <t>Ruck — Base (flat/rolling)</t>
  </si>
  <si>
    <t>Harbor route (stable surfaces)</t>
  </si>
  <si>
    <t>90–120 min</t>
  </si>
  <si>
    <t>(miles optional)</t>
  </si>
  <si>
    <t>Easy; steady rhythm</t>
  </si>
  <si>
    <t>Fri</t>
  </si>
  <si>
    <t>Sat</t>
  </si>
  <si>
    <t>Cycling (Zone 2 base)</t>
  </si>
  <si>
    <t>Home→Ojai or preferred route</t>
  </si>
  <si>
    <t>60–180 min</t>
  </si>
  <si>
    <t>30–45 mi</t>
  </si>
  <si>
    <t>Conversational effort</t>
  </si>
  <si>
    <t>Templates: Cycling</t>
  </si>
  <si>
    <t>Sun</t>
  </si>
  <si>
    <t>(choose)</t>
  </si>
  <si>
    <t>Active recovery (easy swim / mobility / walk)</t>
  </si>
  <si>
    <t>YMCA or outdoors</t>
  </si>
  <si>
    <t>30–60 min</t>
  </si>
  <si>
    <t>Very easy</t>
  </si>
  <si>
    <t>Templates</t>
  </si>
  <si>
    <t>Strength Log — Tuesday (Upper + Carries + Core)</t>
  </si>
  <si>
    <t>Exercise</t>
  </si>
  <si>
    <t>Sets</t>
  </si>
  <si>
    <t>Reps</t>
  </si>
  <si>
    <t>Plan Wt</t>
  </si>
  <si>
    <t>Actual Wt</t>
  </si>
  <si>
    <t>Chest press (machine)</t>
  </si>
  <si>
    <t>3</t>
  </si>
  <si>
    <t>Lat pulldown (machine)</t>
  </si>
  <si>
    <t>Seated row (machine)</t>
  </si>
  <si>
    <t>Face pulls / rear delts</t>
  </si>
  <si>
    <t>Farmer carry</t>
  </si>
  <si>
    <t>Assited Pull-Ups</t>
  </si>
  <si>
    <t xml:space="preserve">Set Assited Weights to 175lbs for all 4 sets </t>
  </si>
  <si>
    <t>Assisted Dips</t>
  </si>
  <si>
    <t>Dead bug</t>
  </si>
  <si>
    <t>12/side</t>
  </si>
  <si>
    <t>BW</t>
  </si>
  <si>
    <t>2 sets of 12 reps per side</t>
  </si>
  <si>
    <t>Plank</t>
  </si>
  <si>
    <t>Strength Log — Friday (Upper + Carries + Core)</t>
  </si>
  <si>
    <t>Swim Log (Wed 10–11am or Sat Recovery Swim)</t>
  </si>
  <si>
    <t>Session</t>
  </si>
  <si>
    <t>Total yards</t>
  </si>
  <si>
    <t>Main set</t>
  </si>
  <si>
    <t>Rest</t>
  </si>
  <si>
    <t>Planned</t>
  </si>
  <si>
    <t>350 yd</t>
  </si>
  <si>
    <t>6×25 easy + 4×25 steady + 4×25 easy</t>
  </si>
  <si>
    <t>30–45s between lengths</t>
  </si>
  <si>
    <t>Weekly Summary (auto where possible)</t>
  </si>
  <si>
    <t>Total ruck miles</t>
  </si>
  <si>
    <t>Total walk miles</t>
  </si>
  <si>
    <t>Total cycle miles</t>
  </si>
  <si>
    <t>Total swim yards</t>
  </si>
  <si>
    <t>Avg weekly weight</t>
  </si>
  <si>
    <t>Resting HR avg</t>
  </si>
  <si>
    <t>BP avg</t>
  </si>
  <si>
    <t>Week 2 — Whitney Prep (Training Log)</t>
  </si>
  <si>
    <t>450 yd</t>
  </si>
  <si>
    <t>Adjust: add 2–6 lengths if recovery is good</t>
  </si>
  <si>
    <t>Week 3 — Whitney Prep (Training Log)</t>
  </si>
  <si>
    <t>550–650 yd</t>
  </si>
  <si>
    <t>Week 4 — Whitney Prep (Training Log)</t>
  </si>
  <si>
    <t>350–450 yd</t>
  </si>
  <si>
    <t>5PM</t>
  </si>
  <si>
    <t>10 minutes of cardio for warm up, 1 hour and 20 minutes for workout, 15 minutes for cardio.</t>
  </si>
  <si>
    <t>DB incline or flat press</t>
  </si>
  <si>
    <t>Warm Up: 10Lbs per side, 2 Sets of 12 Reps. Workout: Set 1: 45LBS. Set 2: 45lbs. Set 3: 40lbs. 12 Reps per set</t>
  </si>
  <si>
    <t>Warm Up Weight: 55lbs 2 Sets of 12 Reps. Workout: Set 1: 100lbs. Set 2: 100lbs. Set 3: 80. 12 Reps per set</t>
  </si>
  <si>
    <t>Warm Up:  55lbs 2 Sets of 12 Reps. Workout: Set 1: 120lbs Set 2: 120lbs Set 3: 100lbs. 12 Reps per set</t>
  </si>
  <si>
    <t>Warm Up: 15lbs 2 Sets of 12 Reps. Workout: Set 1 : 35lbs. Set 2: 35lbs. Set 3: 25lbs. 12 Reps per set</t>
  </si>
  <si>
    <t>Warm Up: 25lbs. 2 Set of 12 Reps. Workout: Set 1: 55lbs. Set 2: 55lbs. Set 3: 50lbs. 12 Reps per set</t>
  </si>
  <si>
    <t>70–85 yd</t>
  </si>
  <si>
    <t>Reps/Length</t>
  </si>
  <si>
    <t>Warm Up: 15lbs Length Side. Workout: 50lbs Length Side. 40lbs Length Side. 30lbs Length Side. Perform farmers carry on artifical grass outdoor area.</t>
  </si>
  <si>
    <t>3 sets of 30 seconds</t>
  </si>
  <si>
    <t xml:space="preserve">30s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</si>
</sst>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m\ d\,\ yyyy"/>
  </numFmts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1"/>
      <name val="Calibri"/>
    </font>
    <font>
      <b/>
      <sz val="12"/>
      <color rgb="FFFFFFFF"/>
      <name val="Calibri"/>
    </font>
    <font>
      <sz val="10"/>
      <name val="Calibri"/>
    </font>
    <font>
      <sz val="10"/>
      <name val="Calibri"/>
      <family val="2"/>
    </font>
    <font>
      <b/>
      <sz val="16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1F4E79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pane ySplit="3" topLeftCell="A4" activePane="bottomLeft" state="frozen"/>
      <selection pane="bottomLeft" activeCell="M5" sqref="M5"/>
    </sheetView>
  </sheetViews>
  <sheetFormatPr defaultRowHeight="15" x14ac:dyDescent="0.25"/>
  <cols>
    <col min="1" max="1" width="11.42578125" style="17" bestFit="1" customWidth="1"/>
    <col min="2" max="2" width="14" style="17" customWidth="1"/>
    <col min="3" max="3" width="8.85546875" style="17" bestFit="1" customWidth="1"/>
    <col min="4" max="4" width="33.42578125" style="17" bestFit="1" customWidth="1"/>
    <col min="5" max="5" width="21.85546875" style="17" bestFit="1" customWidth="1"/>
    <col min="6" max="6" width="25.7109375" style="17" bestFit="1" customWidth="1"/>
    <col min="7" max="7" width="19.5703125" style="17" bestFit="1" customWidth="1"/>
    <col min="8" max="8" width="26" style="17" customWidth="1"/>
    <col min="9" max="16384" width="9.140625" style="17"/>
  </cols>
  <sheetData>
    <row r="1" spans="1:8" ht="21" x14ac:dyDescent="0.25">
      <c r="A1" s="35" t="s">
        <v>0</v>
      </c>
      <c r="B1" s="30"/>
      <c r="C1" s="30"/>
      <c r="D1" s="30"/>
      <c r="E1" s="30"/>
      <c r="F1" s="30"/>
      <c r="G1" s="30"/>
      <c r="H1" s="30"/>
    </row>
    <row r="2" spans="1:8" x14ac:dyDescent="0.25">
      <c r="A2" s="34" t="s">
        <v>1</v>
      </c>
      <c r="B2" s="30"/>
      <c r="C2" s="30"/>
      <c r="D2" s="30"/>
      <c r="E2" s="30"/>
      <c r="F2" s="30"/>
      <c r="G2" s="30"/>
      <c r="H2" s="30"/>
    </row>
    <row r="3" spans="1:8" x14ac:dyDescent="0.2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</row>
    <row r="4" spans="1:8" ht="92.1" customHeight="1" x14ac:dyDescent="0.25">
      <c r="A4" s="16" t="s">
        <v>10</v>
      </c>
      <c r="B4" s="16" t="s">
        <v>11</v>
      </c>
      <c r="C4" s="16" t="s">
        <v>12</v>
      </c>
      <c r="D4" s="16" t="str">
        <f>IFERROR(VLOOKUP($B4,Meal_Library!$A$3:$G$7,2,FALSE),"")</f>
        <v>Overnight oats (Long‑day): ¾c oats + milk + yogurt + berries/banana + chia OR flax + cinnamon (optional whey)</v>
      </c>
      <c r="E4" s="16" t="str">
        <f>IFERROR(VLOOKUP($B4,Meal_Library!$A$3:$G$7,3,FALSE),"")</f>
        <v>10am top‑off: 2 energy balls OR banana OR Greek yogurt + berries</v>
      </c>
      <c r="F4" s="16" t="str">
        <f>IFERROR(VLOOKUP($B4,Meal_Library!$A$3:$G$7,4,FALSE),"")</f>
        <v>12pm fuel: Chicken + rice + veggies bowl (light salt; vinegar/lime)</v>
      </c>
      <c r="G4" s="16" t="str">
        <f>IFERROR(VLOOKUP($B4,Meal_Library!$A$3:$G$7,5,FALSE),"")</f>
        <v>3–4pm recovery: Tuna + Greek‑yogurt bowl (or chicken+rice/beans if very depleted)</v>
      </c>
      <c r="H4" s="16" t="str">
        <f>IFERROR(VLOOKUP($B4,Meal_Library!$A$3:$G$7,6,FALSE),"")</f>
        <v>6pm dinner: Bean/lentil chili + big salad (finish by ~7pm)</v>
      </c>
    </row>
    <row r="5" spans="1:8" ht="92.1" customHeight="1" x14ac:dyDescent="0.25">
      <c r="A5" s="16" t="s">
        <v>13</v>
      </c>
      <c r="B5" s="16" t="s">
        <v>14</v>
      </c>
      <c r="C5" s="16" t="s">
        <v>12</v>
      </c>
      <c r="D5" s="16" t="str">
        <f>IFERROR(VLOOKUP($B5,Meal_Library!$A$3:$G$7,2,FALSE),"")</f>
        <v>Egg scramble + spinach/onion/peppers + mini oats (½c) OR toast</v>
      </c>
      <c r="E5" s="16" t="str">
        <f>IFERROR(VLOOKUP($B5,Meal_Library!$A$3:$G$7,3,FALSE),"")</f>
        <v>Greek yogurt + berries + cinnamon</v>
      </c>
      <c r="F5" s="16" t="str">
        <f>IFERROR(VLOOKUP($B5,Meal_Library!$A$3:$G$7,4,FALSE),"")</f>
        <v>Power bowl: Beans + rice + chicken + homemade salsa</v>
      </c>
      <c r="G5" s="16" t="str">
        <f>IFERROR(VLOOKUP($B5,Meal_Library!$A$3:$G$7,5,FALSE),"")</f>
        <v>Whey shake: 1 scoop + milk/soy + berries (add ¼c oats if hungry)</v>
      </c>
      <c r="H5" s="16" t="str">
        <f>IFERROR(VLOOKUP($B5,Meal_Library!$A$3:$G$7,6,FALSE),"")</f>
        <v>Chicken thighs + roasted veggies (+ small carb if depleted)</v>
      </c>
    </row>
    <row r="6" spans="1:8" ht="92.1" customHeight="1" x14ac:dyDescent="0.25">
      <c r="A6" s="16" t="s">
        <v>15</v>
      </c>
      <c r="B6" s="16" t="s">
        <v>16</v>
      </c>
      <c r="C6" s="16" t="s">
        <v>12</v>
      </c>
      <c r="D6" s="16" t="str">
        <f>IFERROR(VLOOKUP($B6,Meal_Library!$A$3:$G$7,2,FALSE),"")</f>
        <v>Overnight oats (Light): ½c oats + milk + yogurt + berries + chia OR flax</v>
      </c>
      <c r="E6" s="16" t="str">
        <f>IFERROR(VLOOKUP($B6,Meal_Library!$A$3:$G$7,3,FALSE),"")</f>
        <v>Optional pre‑swim: banana (optional 1 tbsp PB)</v>
      </c>
      <c r="F6" s="16" t="str">
        <f>IFERROR(VLOOKUP($B6,Meal_Library!$A$3:$G$7,4,FALSE),"")</f>
        <v>Lentil salad bowl (+ tuna/chicken if desired)</v>
      </c>
      <c r="G6" s="16" t="str">
        <f>IFERROR(VLOOKUP($B6,Meal_Library!$A$3:$G$7,5,FALSE),"")</f>
        <v>Energy balls if hungry</v>
      </c>
      <c r="H6" s="16" t="str">
        <f>IFERROR(VLOOKUP($B6,Meal_Library!$A$3:$G$7,6,FALSE),"")</f>
        <v>Tuna Mediterranean plate + big salad (small carb if needed)</v>
      </c>
    </row>
    <row r="7" spans="1:8" ht="92.1" customHeight="1" x14ac:dyDescent="0.25">
      <c r="A7" s="16" t="s">
        <v>17</v>
      </c>
      <c r="B7" s="16" t="s">
        <v>14</v>
      </c>
      <c r="C7" s="16" t="s">
        <v>12</v>
      </c>
      <c r="D7" s="16" t="str">
        <f>IFERROR(VLOOKUP($B7,Meal_Library!$A$3:$G$7,2,FALSE),"")</f>
        <v>Egg scramble + spinach/onion/peppers + mini oats (½c) OR toast</v>
      </c>
      <c r="E7" s="16" t="str">
        <f>IFERROR(VLOOKUP($B7,Meal_Library!$A$3:$G$7,3,FALSE),"")</f>
        <v>Greek yogurt + berries + cinnamon</v>
      </c>
      <c r="F7" s="16" t="str">
        <f>IFERROR(VLOOKUP($B7,Meal_Library!$A$3:$G$7,4,FALSE),"")</f>
        <v>Power bowl: Beans + rice + chicken + homemade salsa</v>
      </c>
      <c r="G7" s="16" t="str">
        <f>IFERROR(VLOOKUP($B7,Meal_Library!$A$3:$G$7,5,FALSE),"")</f>
        <v>Whey shake: 1 scoop + milk/soy + berries (add ¼c oats if hungry)</v>
      </c>
      <c r="H7" s="16" t="str">
        <f>IFERROR(VLOOKUP($B7,Meal_Library!$A$3:$G$7,6,FALSE),"")</f>
        <v>Chicken thighs + roasted veggies (+ small carb if depleted)</v>
      </c>
    </row>
    <row r="8" spans="1:8" ht="92.1" customHeight="1" x14ac:dyDescent="0.25">
      <c r="A8" s="16" t="s">
        <v>18</v>
      </c>
      <c r="B8" s="16" t="s">
        <v>11</v>
      </c>
      <c r="C8" s="16" t="s">
        <v>12</v>
      </c>
      <c r="D8" s="16" t="str">
        <f>IFERROR(VLOOKUP($B8,Meal_Library!$A$3:$G$7,2,FALSE),"")</f>
        <v>Overnight oats (Long‑day): ¾c oats + milk + yogurt + berries/banana + chia OR flax + cinnamon (optional whey)</v>
      </c>
      <c r="E8" s="16" t="str">
        <f>IFERROR(VLOOKUP($B8,Meal_Library!$A$3:$G$7,3,FALSE),"")</f>
        <v>10am top‑off: 2 energy balls OR banana OR Greek yogurt + berries</v>
      </c>
      <c r="F8" s="16" t="str">
        <f>IFERROR(VLOOKUP($B8,Meal_Library!$A$3:$G$7,4,FALSE),"")</f>
        <v>12pm fuel: Chicken + rice + veggies bowl (light salt; vinegar/lime)</v>
      </c>
      <c r="G8" s="16" t="str">
        <f>IFERROR(VLOOKUP($B8,Meal_Library!$A$3:$G$7,5,FALSE),"")</f>
        <v>3–4pm recovery: Tuna + Greek‑yogurt bowl (or chicken+rice/beans if very depleted)</v>
      </c>
      <c r="H8" s="16" t="str">
        <f>IFERROR(VLOOKUP($B8,Meal_Library!$A$3:$G$7,6,FALSE),"")</f>
        <v>6pm dinner: Bean/lentil chili + big salad (finish by ~7pm)</v>
      </c>
    </row>
    <row r="9" spans="1:8" ht="92.1" customHeight="1" x14ac:dyDescent="0.25">
      <c r="A9" s="16" t="s">
        <v>19</v>
      </c>
      <c r="B9" s="16" t="s">
        <v>20</v>
      </c>
      <c r="C9" s="16" t="s">
        <v>12</v>
      </c>
      <c r="D9" s="16" t="str">
        <f>IFERROR(VLOOKUP($B9,Meal_Library!$A$3:$G$7,2,FALSE),"")</f>
        <v>Overnight oats (Light) OR eggs + veg</v>
      </c>
      <c r="E9" s="16" t="str">
        <f>IFERROR(VLOOKUP($B9,Meal_Library!$A$3:$G$7,3,FALSE),"")</f>
        <v>Fruit + Greek yogurt (or skip if not hungry)</v>
      </c>
      <c r="F9" s="16" t="str">
        <f>IFERROR(VLOOKUP($B9,Meal_Library!$A$3:$G$7,4,FALSE),"")</f>
        <v>Big salad + beans/lentils + tuna/chicken</v>
      </c>
      <c r="G9" s="16" t="str">
        <f>IFERROR(VLOOKUP($B9,Meal_Library!$A$3:$G$7,5,FALSE),"")</f>
        <v>Optional: whey only if protein is low</v>
      </c>
      <c r="H9" s="16" t="str">
        <f>IFERROR(VLOOKUP($B9,Meal_Library!$A$3:$G$7,6,FALSE),"")</f>
        <v>Protein + veggies; carbs lower/moderate</v>
      </c>
    </row>
    <row r="10" spans="1:8" ht="92.1" customHeight="1" x14ac:dyDescent="0.25">
      <c r="A10" s="16" t="s">
        <v>21</v>
      </c>
      <c r="B10" s="16" t="s">
        <v>22</v>
      </c>
      <c r="C10" s="16" t="s">
        <v>12</v>
      </c>
      <c r="D10" s="16" t="str">
        <f>IFERROR(VLOOKUP($B10,Meal_Library!$A$3:$G$7,2,FALSE),"")</f>
        <v>Overnight oats (Long‑day) OR eggs + toast + fruit (savory option)</v>
      </c>
      <c r="E10" s="16" t="str">
        <f>IFERROR(VLOOKUP($B10,Meal_Library!$A$3:$G$7,3,FALSE),"")</f>
        <v>10am top‑off: 2 energy balls OR banana</v>
      </c>
      <c r="F10" s="16" t="str">
        <f>IFERROR(VLOOKUP($B10,Meal_Library!$A$3:$G$7,4,FALSE),"")</f>
        <v>Pre: Rice + chicken bowl (or beans+rice if tolerated)</v>
      </c>
      <c r="G10" s="16" t="str">
        <f>IFERROR(VLOOKUP($B10,Meal_Library!$A$3:$G$7,5,FALSE),"")</f>
        <v>Post: Whey shake + berries</v>
      </c>
      <c r="H10" s="16" t="str">
        <f>IFERROR(VLOOKUP($B10,Meal_Library!$A$3:$G$7,6,FALSE),"")</f>
        <v>Dinner: Protein + veggies + carb as needed</v>
      </c>
    </row>
    <row r="12" spans="1:8" ht="15.75" x14ac:dyDescent="0.25">
      <c r="A12" s="33" t="s">
        <v>23</v>
      </c>
      <c r="B12" s="30"/>
      <c r="C12" s="30"/>
      <c r="D12" s="30"/>
      <c r="E12" s="30"/>
      <c r="F12" s="30"/>
      <c r="G12" s="30"/>
      <c r="H12" s="30"/>
    </row>
    <row r="13" spans="1:8" x14ac:dyDescent="0.25">
      <c r="A13" s="34" t="s">
        <v>24</v>
      </c>
      <c r="B13" s="30"/>
      <c r="C13" s="30"/>
      <c r="D13" s="30"/>
      <c r="E13" s="30"/>
      <c r="F13" s="30"/>
      <c r="G13" s="30"/>
      <c r="H13" s="30"/>
    </row>
  </sheetData>
  <mergeCells count="4">
    <mergeCell ref="A12:H12"/>
    <mergeCell ref="A13:H13"/>
    <mergeCell ref="A2:H2"/>
    <mergeCell ref="A1:H1"/>
  </mergeCells>
  <dataValidations count="2">
    <dataValidation type="list" sqref="B4 B5 B6 B7 B8 B9 B10" xr:uid="{00000000-0002-0000-0000-000000000000}">
      <formula1>"Ruck,Strength,Swim,Cycle,Rest/Recovery"</formula1>
    </dataValidation>
    <dataValidation type="list" sqref="C4 C5 C6 C7 C8 C9 C10" xr:uid="{00000000-0002-0000-0000-000001000000}">
      <formula1>"Small,Standard,Big"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topLeftCell="B1" workbookViewId="0">
      <pane ySplit="2" topLeftCell="A3" activePane="bottomLeft" state="frozen"/>
      <selection pane="bottomLeft" activeCell="D14" sqref="D14"/>
    </sheetView>
  </sheetViews>
  <sheetFormatPr defaultRowHeight="15" x14ac:dyDescent="0.25"/>
  <cols>
    <col min="1" max="1" width="52.140625" style="17" customWidth="1"/>
    <col min="2" max="2" width="60" style="17" customWidth="1"/>
    <col min="3" max="3" width="57.5703125" style="17" customWidth="1"/>
    <col min="4" max="5" width="60" style="17" customWidth="1"/>
    <col min="6" max="6" width="53.140625" style="17" customWidth="1"/>
    <col min="7" max="7" width="60" style="17" customWidth="1"/>
    <col min="8" max="16384" width="9.140625" style="17"/>
  </cols>
  <sheetData>
    <row r="1" spans="1:7" ht="18.75" x14ac:dyDescent="0.25">
      <c r="A1" s="36" t="s">
        <v>25</v>
      </c>
      <c r="B1" s="30"/>
      <c r="C1" s="30"/>
      <c r="D1" s="30"/>
      <c r="E1" s="30"/>
      <c r="F1" s="30"/>
      <c r="G1" s="30"/>
    </row>
    <row r="2" spans="1:7" x14ac:dyDescent="0.25">
      <c r="A2" s="15" t="s">
        <v>3</v>
      </c>
      <c r="B2" s="15" t="s">
        <v>5</v>
      </c>
      <c r="C2" s="15" t="s">
        <v>6</v>
      </c>
      <c r="D2" s="15" t="s">
        <v>7</v>
      </c>
      <c r="E2" s="15" t="s">
        <v>8</v>
      </c>
      <c r="F2" s="15" t="s">
        <v>9</v>
      </c>
      <c r="G2" s="15" t="s">
        <v>26</v>
      </c>
    </row>
    <row r="3" spans="1:7" ht="78" customHeight="1" x14ac:dyDescent="0.25">
      <c r="A3" s="16" t="s">
        <v>11</v>
      </c>
      <c r="B3" s="16" t="s">
        <v>27</v>
      </c>
      <c r="C3" s="16" t="s">
        <v>28</v>
      </c>
      <c r="D3" s="16" t="s">
        <v>29</v>
      </c>
      <c r="E3" s="16" t="s">
        <v>30</v>
      </c>
      <c r="F3" s="16" t="s">
        <v>31</v>
      </c>
      <c r="G3" s="16" t="s">
        <v>32</v>
      </c>
    </row>
    <row r="4" spans="1:7" ht="78" customHeight="1" x14ac:dyDescent="0.25">
      <c r="A4" s="16" t="s">
        <v>14</v>
      </c>
      <c r="B4" s="16" t="s">
        <v>33</v>
      </c>
      <c r="C4" s="16" t="s">
        <v>34</v>
      </c>
      <c r="D4" s="16" t="s">
        <v>35</v>
      </c>
      <c r="E4" s="16" t="s">
        <v>36</v>
      </c>
      <c r="F4" s="16" t="s">
        <v>37</v>
      </c>
      <c r="G4" s="16" t="s">
        <v>38</v>
      </c>
    </row>
    <row r="5" spans="1:7" ht="78" customHeight="1" x14ac:dyDescent="0.25">
      <c r="A5" s="16" t="s">
        <v>16</v>
      </c>
      <c r="B5" s="16" t="s">
        <v>39</v>
      </c>
      <c r="C5" s="16" t="s">
        <v>40</v>
      </c>
      <c r="D5" s="16" t="s">
        <v>41</v>
      </c>
      <c r="E5" s="16" t="s">
        <v>42</v>
      </c>
      <c r="F5" s="16" t="s">
        <v>43</v>
      </c>
      <c r="G5" s="16" t="s">
        <v>44</v>
      </c>
    </row>
    <row r="6" spans="1:7" ht="78" customHeight="1" x14ac:dyDescent="0.25">
      <c r="A6" s="16" t="s">
        <v>22</v>
      </c>
      <c r="B6" s="16" t="s">
        <v>45</v>
      </c>
      <c r="C6" s="16" t="s">
        <v>46</v>
      </c>
      <c r="D6" s="16" t="s">
        <v>47</v>
      </c>
      <c r="E6" s="16" t="s">
        <v>48</v>
      </c>
      <c r="F6" s="16" t="s">
        <v>49</v>
      </c>
      <c r="G6" s="16" t="s">
        <v>50</v>
      </c>
    </row>
    <row r="7" spans="1:7" ht="78" customHeight="1" x14ac:dyDescent="0.25">
      <c r="A7" s="16" t="s">
        <v>20</v>
      </c>
      <c r="B7" s="16" t="s">
        <v>51</v>
      </c>
      <c r="C7" s="16" t="s">
        <v>52</v>
      </c>
      <c r="D7" s="16" t="s">
        <v>53</v>
      </c>
      <c r="E7" s="16" t="s">
        <v>54</v>
      </c>
      <c r="F7" s="16" t="s">
        <v>55</v>
      </c>
      <c r="G7" s="16" t="s">
        <v>56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showGridLines="0" workbookViewId="0">
      <selection activeCell="H16" sqref="H16"/>
    </sheetView>
  </sheetViews>
  <sheetFormatPr defaultRowHeight="15" x14ac:dyDescent="0.25"/>
  <cols>
    <col min="1" max="1" width="29.7109375" style="17" bestFit="1" customWidth="1"/>
    <col min="2" max="2" width="55" style="17" customWidth="1"/>
    <col min="3" max="5" width="10" style="17" customWidth="1"/>
    <col min="6" max="6" width="70.5703125" style="17" customWidth="1"/>
    <col min="7" max="16384" width="9.140625" style="17"/>
  </cols>
  <sheetData>
    <row r="1" spans="1:6" ht="21" x14ac:dyDescent="0.25">
      <c r="A1" s="35" t="s">
        <v>57</v>
      </c>
      <c r="B1" s="30"/>
      <c r="C1" s="30"/>
      <c r="D1" s="30"/>
      <c r="E1" s="30"/>
      <c r="F1" s="30"/>
    </row>
    <row r="2" spans="1:6" x14ac:dyDescent="0.25">
      <c r="A2" s="18" t="s">
        <v>58</v>
      </c>
      <c r="B2" s="34" t="s">
        <v>59</v>
      </c>
      <c r="C2" s="30"/>
      <c r="D2" s="30"/>
      <c r="E2" s="30"/>
      <c r="F2" s="30"/>
    </row>
    <row r="4" spans="1:6" ht="15.75" x14ac:dyDescent="0.25">
      <c r="A4" s="33" t="s">
        <v>60</v>
      </c>
      <c r="B4" s="30"/>
      <c r="C4" s="30"/>
      <c r="D4" s="30"/>
      <c r="E4" s="30"/>
      <c r="F4" s="30"/>
    </row>
    <row r="5" spans="1:6" x14ac:dyDescent="0.25">
      <c r="A5" s="15" t="s">
        <v>61</v>
      </c>
      <c r="B5" s="41" t="s">
        <v>62</v>
      </c>
      <c r="C5" s="39"/>
      <c r="D5" s="39"/>
      <c r="E5" s="39"/>
      <c r="F5" s="40"/>
    </row>
    <row r="6" spans="1:6" x14ac:dyDescent="0.25">
      <c r="A6" s="16" t="s">
        <v>63</v>
      </c>
      <c r="B6" s="38" t="s">
        <v>64</v>
      </c>
      <c r="C6" s="39"/>
      <c r="D6" s="39"/>
      <c r="E6" s="39"/>
      <c r="F6" s="40"/>
    </row>
    <row r="7" spans="1:6" x14ac:dyDescent="0.25">
      <c r="A7" s="16" t="s">
        <v>65</v>
      </c>
      <c r="B7" s="38" t="s">
        <v>66</v>
      </c>
      <c r="C7" s="39"/>
      <c r="D7" s="39"/>
      <c r="E7" s="39"/>
      <c r="F7" s="40"/>
    </row>
    <row r="8" spans="1:6" x14ac:dyDescent="0.25">
      <c r="A8" s="16" t="s">
        <v>67</v>
      </c>
      <c r="B8" s="38" t="s">
        <v>68</v>
      </c>
      <c r="C8" s="39"/>
      <c r="D8" s="39"/>
      <c r="E8" s="39"/>
      <c r="F8" s="40"/>
    </row>
    <row r="9" spans="1:6" x14ac:dyDescent="0.25">
      <c r="A9" s="16" t="s">
        <v>69</v>
      </c>
      <c r="B9" s="38" t="s">
        <v>70</v>
      </c>
      <c r="C9" s="39"/>
      <c r="D9" s="39"/>
      <c r="E9" s="39"/>
      <c r="F9" s="40"/>
    </row>
    <row r="10" spans="1:6" x14ac:dyDescent="0.25">
      <c r="A10" s="16" t="s">
        <v>71</v>
      </c>
      <c r="B10" s="38" t="s">
        <v>72</v>
      </c>
      <c r="C10" s="39"/>
      <c r="D10" s="39"/>
      <c r="E10" s="39"/>
      <c r="F10" s="40"/>
    </row>
    <row r="11" spans="1:6" x14ac:dyDescent="0.25">
      <c r="A11" s="16" t="s">
        <v>73</v>
      </c>
      <c r="B11" s="38" t="s">
        <v>74</v>
      </c>
      <c r="C11" s="39"/>
      <c r="D11" s="39"/>
      <c r="E11" s="39"/>
      <c r="F11" s="40"/>
    </row>
    <row r="12" spans="1:6" x14ac:dyDescent="0.25">
      <c r="A12" s="16" t="s">
        <v>75</v>
      </c>
      <c r="B12" s="38" t="s">
        <v>76</v>
      </c>
      <c r="C12" s="39"/>
      <c r="D12" s="39"/>
      <c r="E12" s="39"/>
      <c r="F12" s="40"/>
    </row>
    <row r="13" spans="1:6" x14ac:dyDescent="0.25">
      <c r="A13" s="16" t="s">
        <v>77</v>
      </c>
      <c r="B13" s="38" t="s">
        <v>78</v>
      </c>
      <c r="C13" s="39"/>
      <c r="D13" s="39"/>
      <c r="E13" s="39"/>
      <c r="F13" s="40"/>
    </row>
    <row r="15" spans="1:6" ht="15.75" x14ac:dyDescent="0.25">
      <c r="A15" s="33" t="s">
        <v>79</v>
      </c>
      <c r="B15" s="30"/>
      <c r="C15" s="30"/>
      <c r="D15" s="30"/>
      <c r="E15" s="30"/>
      <c r="F15" s="30"/>
    </row>
    <row r="16" spans="1:6" x14ac:dyDescent="0.25">
      <c r="A16" s="15" t="s">
        <v>2</v>
      </c>
      <c r="B16" s="41" t="s">
        <v>80</v>
      </c>
      <c r="C16" s="39"/>
      <c r="D16" s="39"/>
      <c r="E16" s="39"/>
      <c r="F16" s="40"/>
    </row>
    <row r="17" spans="1:6" x14ac:dyDescent="0.25">
      <c r="A17" s="16" t="s">
        <v>81</v>
      </c>
      <c r="B17" s="38" t="s">
        <v>82</v>
      </c>
      <c r="C17" s="39"/>
      <c r="D17" s="39"/>
      <c r="E17" s="39"/>
      <c r="F17" s="40"/>
    </row>
    <row r="18" spans="1:6" x14ac:dyDescent="0.25">
      <c r="A18" s="16" t="s">
        <v>83</v>
      </c>
      <c r="B18" s="38" t="s">
        <v>84</v>
      </c>
      <c r="C18" s="39"/>
      <c r="D18" s="39"/>
      <c r="E18" s="39"/>
      <c r="F18" s="40"/>
    </row>
    <row r="19" spans="1:6" x14ac:dyDescent="0.25">
      <c r="A19" s="16" t="s">
        <v>85</v>
      </c>
      <c r="B19" s="38" t="s">
        <v>86</v>
      </c>
      <c r="C19" s="39"/>
      <c r="D19" s="39"/>
      <c r="E19" s="39"/>
      <c r="F19" s="40"/>
    </row>
    <row r="21" spans="1:6" ht="15.75" x14ac:dyDescent="0.25">
      <c r="A21" s="33" t="s">
        <v>87</v>
      </c>
      <c r="B21" s="30"/>
      <c r="C21" s="30"/>
      <c r="D21" s="30"/>
      <c r="E21" s="30"/>
      <c r="F21" s="30"/>
    </row>
    <row r="22" spans="1:6" x14ac:dyDescent="0.25">
      <c r="A22" s="34" t="s">
        <v>88</v>
      </c>
      <c r="B22" s="30"/>
      <c r="C22" s="30"/>
      <c r="D22" s="30"/>
      <c r="E22" s="30"/>
      <c r="F22" s="30"/>
    </row>
    <row r="24" spans="1:6" ht="15.75" x14ac:dyDescent="0.25">
      <c r="A24" s="33" t="s">
        <v>89</v>
      </c>
      <c r="B24" s="30"/>
      <c r="C24" s="30"/>
      <c r="D24" s="30"/>
      <c r="E24" s="30"/>
      <c r="F24" s="30"/>
    </row>
    <row r="25" spans="1:6" x14ac:dyDescent="0.25">
      <c r="A25" s="37" t="s">
        <v>90</v>
      </c>
      <c r="B25" s="30"/>
      <c r="C25" s="30"/>
      <c r="D25" s="30"/>
      <c r="E25" s="30"/>
      <c r="F25" s="30"/>
    </row>
    <row r="26" spans="1:6" x14ac:dyDescent="0.25">
      <c r="A26" s="34" t="s">
        <v>91</v>
      </c>
      <c r="B26" s="30"/>
      <c r="C26" s="30"/>
      <c r="D26" s="30"/>
      <c r="E26" s="30"/>
      <c r="F26" s="30"/>
    </row>
    <row r="28" spans="1:6" x14ac:dyDescent="0.25">
      <c r="A28" s="37" t="s">
        <v>92</v>
      </c>
      <c r="B28" s="30"/>
      <c r="C28" s="30"/>
      <c r="D28" s="30"/>
      <c r="E28" s="30"/>
      <c r="F28" s="30"/>
    </row>
    <row r="29" spans="1:6" x14ac:dyDescent="0.25">
      <c r="A29" s="34" t="s">
        <v>93</v>
      </c>
      <c r="B29" s="30"/>
      <c r="C29" s="30"/>
      <c r="D29" s="30"/>
      <c r="E29" s="30"/>
      <c r="F29" s="30"/>
    </row>
    <row r="31" spans="1:6" x14ac:dyDescent="0.25">
      <c r="A31" s="37" t="s">
        <v>94</v>
      </c>
      <c r="B31" s="30"/>
      <c r="C31" s="30"/>
      <c r="D31" s="30"/>
      <c r="E31" s="30"/>
      <c r="F31" s="30"/>
    </row>
    <row r="32" spans="1:6" x14ac:dyDescent="0.25">
      <c r="A32" s="34" t="s">
        <v>95</v>
      </c>
      <c r="B32" s="30"/>
      <c r="C32" s="30"/>
      <c r="D32" s="30"/>
      <c r="E32" s="30"/>
      <c r="F32" s="30"/>
    </row>
    <row r="34" spans="1:6" x14ac:dyDescent="0.25">
      <c r="A34" s="37" t="s">
        <v>96</v>
      </c>
      <c r="B34" s="30"/>
      <c r="C34" s="30"/>
      <c r="D34" s="30"/>
      <c r="E34" s="30"/>
      <c r="F34" s="30"/>
    </row>
    <row r="35" spans="1:6" x14ac:dyDescent="0.25">
      <c r="A35" s="34" t="s">
        <v>97</v>
      </c>
      <c r="B35" s="30"/>
      <c r="C35" s="30"/>
      <c r="D35" s="30"/>
      <c r="E35" s="30"/>
      <c r="F35" s="30"/>
    </row>
    <row r="37" spans="1:6" x14ac:dyDescent="0.25">
      <c r="A37" s="37" t="s">
        <v>98</v>
      </c>
      <c r="B37" s="30"/>
      <c r="C37" s="30"/>
      <c r="D37" s="30"/>
      <c r="E37" s="30"/>
      <c r="F37" s="30"/>
    </row>
    <row r="38" spans="1:6" x14ac:dyDescent="0.25">
      <c r="A38" s="34" t="s">
        <v>99</v>
      </c>
      <c r="B38" s="30"/>
      <c r="C38" s="30"/>
      <c r="D38" s="30"/>
      <c r="E38" s="30"/>
      <c r="F38" s="30"/>
    </row>
    <row r="40" spans="1:6" x14ac:dyDescent="0.25">
      <c r="A40" s="37" t="s">
        <v>100</v>
      </c>
      <c r="B40" s="30"/>
      <c r="C40" s="30"/>
      <c r="D40" s="30"/>
      <c r="E40" s="30"/>
      <c r="F40" s="30"/>
    </row>
    <row r="41" spans="1:6" x14ac:dyDescent="0.25">
      <c r="A41" s="34" t="s">
        <v>101</v>
      </c>
      <c r="B41" s="30"/>
      <c r="C41" s="30"/>
      <c r="D41" s="30"/>
      <c r="E41" s="30"/>
      <c r="F41" s="30"/>
    </row>
    <row r="43" spans="1:6" x14ac:dyDescent="0.25">
      <c r="A43" s="37" t="s">
        <v>102</v>
      </c>
      <c r="B43" s="30"/>
      <c r="C43" s="30"/>
      <c r="D43" s="30"/>
      <c r="E43" s="30"/>
      <c r="F43" s="30"/>
    </row>
    <row r="44" spans="1:6" x14ac:dyDescent="0.25">
      <c r="A44" s="34" t="s">
        <v>103</v>
      </c>
      <c r="B44" s="30"/>
      <c r="C44" s="30"/>
      <c r="D44" s="30"/>
      <c r="E44" s="30"/>
      <c r="F44" s="30"/>
    </row>
    <row r="46" spans="1:6" x14ac:dyDescent="0.25">
      <c r="A46" s="37" t="s">
        <v>104</v>
      </c>
      <c r="B46" s="30"/>
      <c r="C46" s="30"/>
      <c r="D46" s="30"/>
      <c r="E46" s="30"/>
      <c r="F46" s="30"/>
    </row>
    <row r="47" spans="1:6" x14ac:dyDescent="0.25">
      <c r="A47" s="34" t="s">
        <v>105</v>
      </c>
      <c r="B47" s="30"/>
      <c r="C47" s="30"/>
      <c r="D47" s="30"/>
      <c r="E47" s="30"/>
      <c r="F47" s="30"/>
    </row>
    <row r="49" spans="1:6" x14ac:dyDescent="0.25">
      <c r="A49" s="37" t="s">
        <v>106</v>
      </c>
      <c r="B49" s="30"/>
      <c r="C49" s="30"/>
      <c r="D49" s="30"/>
      <c r="E49" s="30"/>
      <c r="F49" s="30"/>
    </row>
    <row r="50" spans="1:6" x14ac:dyDescent="0.25">
      <c r="A50" s="34" t="s">
        <v>107</v>
      </c>
      <c r="B50" s="30"/>
      <c r="C50" s="30"/>
      <c r="D50" s="30"/>
      <c r="E50" s="30"/>
      <c r="F50" s="30"/>
    </row>
    <row r="52" spans="1:6" x14ac:dyDescent="0.25">
      <c r="A52" s="37" t="s">
        <v>108</v>
      </c>
      <c r="B52" s="30"/>
      <c r="C52" s="30"/>
      <c r="D52" s="30"/>
      <c r="E52" s="30"/>
      <c r="F52" s="30"/>
    </row>
    <row r="53" spans="1:6" x14ac:dyDescent="0.25">
      <c r="A53" s="34" t="s">
        <v>109</v>
      </c>
      <c r="B53" s="30"/>
      <c r="C53" s="30"/>
      <c r="D53" s="30"/>
      <c r="E53" s="30"/>
      <c r="F53" s="30"/>
    </row>
    <row r="55" spans="1:6" x14ac:dyDescent="0.25">
      <c r="A55" s="37" t="s">
        <v>110</v>
      </c>
      <c r="B55" s="30"/>
      <c r="C55" s="30"/>
      <c r="D55" s="30"/>
      <c r="E55" s="30"/>
      <c r="F55" s="30"/>
    </row>
    <row r="56" spans="1:6" x14ac:dyDescent="0.25">
      <c r="A56" s="34" t="s">
        <v>111</v>
      </c>
      <c r="B56" s="30"/>
      <c r="C56" s="30"/>
      <c r="D56" s="30"/>
      <c r="E56" s="30"/>
      <c r="F56" s="30"/>
    </row>
    <row r="58" spans="1:6" x14ac:dyDescent="0.25">
      <c r="A58" s="37" t="s">
        <v>112</v>
      </c>
      <c r="B58" s="30"/>
      <c r="C58" s="30"/>
      <c r="D58" s="30"/>
      <c r="E58" s="30"/>
      <c r="F58" s="30"/>
    </row>
    <row r="59" spans="1:6" x14ac:dyDescent="0.25">
      <c r="A59" s="34" t="s">
        <v>113</v>
      </c>
      <c r="B59" s="30"/>
      <c r="C59" s="30"/>
      <c r="D59" s="30"/>
      <c r="E59" s="30"/>
      <c r="F59" s="30"/>
    </row>
  </sheetData>
  <mergeCells count="44">
    <mergeCell ref="A59:F59"/>
    <mergeCell ref="A24:F24"/>
    <mergeCell ref="A49:F49"/>
    <mergeCell ref="B6:F6"/>
    <mergeCell ref="A1:F1"/>
    <mergeCell ref="B5:F5"/>
    <mergeCell ref="A25:F25"/>
    <mergeCell ref="A58:F58"/>
    <mergeCell ref="A34:F34"/>
    <mergeCell ref="A40:F40"/>
    <mergeCell ref="A15:F15"/>
    <mergeCell ref="B9:F9"/>
    <mergeCell ref="B2:F2"/>
    <mergeCell ref="B11:F11"/>
    <mergeCell ref="A32:F32"/>
    <mergeCell ref="A22:F22"/>
    <mergeCell ref="A4:F4"/>
    <mergeCell ref="B8:F8"/>
    <mergeCell ref="B17:F17"/>
    <mergeCell ref="A29:F29"/>
    <mergeCell ref="B13:F13"/>
    <mergeCell ref="A28:F28"/>
    <mergeCell ref="B10:F10"/>
    <mergeCell ref="B19:F19"/>
    <mergeCell ref="B7:F7"/>
    <mergeCell ref="B16:F16"/>
    <mergeCell ref="B18:F18"/>
    <mergeCell ref="B12:F12"/>
    <mergeCell ref="A50:F50"/>
    <mergeCell ref="A56:F56"/>
    <mergeCell ref="A26:F26"/>
    <mergeCell ref="A21:F21"/>
    <mergeCell ref="A55:F55"/>
    <mergeCell ref="A47:F47"/>
    <mergeCell ref="A53:F53"/>
    <mergeCell ref="A43:F43"/>
    <mergeCell ref="A38:F38"/>
    <mergeCell ref="A52:F52"/>
    <mergeCell ref="A44:F44"/>
    <mergeCell ref="A41:F41"/>
    <mergeCell ref="A46:F46"/>
    <mergeCell ref="A37:F37"/>
    <mergeCell ref="A35:F35"/>
    <mergeCell ref="A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showGridLines="0" workbookViewId="0">
      <selection activeCell="P12" sqref="P12"/>
    </sheetView>
  </sheetViews>
  <sheetFormatPr defaultRowHeight="15" x14ac:dyDescent="0.25"/>
  <cols>
    <col min="1" max="1" width="26" style="17" customWidth="1"/>
    <col min="2" max="2" width="18" style="17" customWidth="1"/>
    <col min="3" max="3" width="55" style="17" customWidth="1"/>
    <col min="4" max="4" width="24" style="17" customWidth="1"/>
    <col min="5" max="7" width="12" style="17" customWidth="1"/>
    <col min="8" max="8" width="14" style="17" customWidth="1"/>
    <col min="9" max="16384" width="9.140625" style="17"/>
  </cols>
  <sheetData>
    <row r="1" spans="1:8" ht="21" x14ac:dyDescent="0.25">
      <c r="A1" s="29" t="s">
        <v>114</v>
      </c>
      <c r="B1" s="30"/>
      <c r="C1" s="30"/>
      <c r="D1" s="30"/>
      <c r="E1" s="30"/>
      <c r="F1" s="30"/>
      <c r="G1" s="30"/>
      <c r="H1" s="30"/>
    </row>
    <row r="3" spans="1:8" x14ac:dyDescent="0.25">
      <c r="A3" s="27" t="s">
        <v>115</v>
      </c>
      <c r="B3" s="42"/>
      <c r="C3" s="42"/>
      <c r="D3" s="42"/>
      <c r="E3" s="42"/>
      <c r="F3" s="42"/>
      <c r="G3" s="42"/>
      <c r="H3" s="42"/>
    </row>
    <row r="4" spans="1:8" x14ac:dyDescent="0.25">
      <c r="A4" s="43" t="s">
        <v>116</v>
      </c>
      <c r="B4" s="30"/>
      <c r="C4" s="34" t="s">
        <v>117</v>
      </c>
      <c r="D4" s="30"/>
      <c r="E4" s="30"/>
      <c r="F4" s="30"/>
      <c r="G4" s="30"/>
      <c r="H4" s="30"/>
    </row>
    <row r="5" spans="1:8" x14ac:dyDescent="0.25">
      <c r="A5" s="43" t="s">
        <v>118</v>
      </c>
      <c r="B5" s="30"/>
      <c r="C5" s="34" t="s">
        <v>119</v>
      </c>
      <c r="D5" s="30"/>
      <c r="E5" s="30"/>
      <c r="F5" s="30"/>
      <c r="G5" s="30"/>
      <c r="H5" s="30"/>
    </row>
    <row r="6" spans="1:8" x14ac:dyDescent="0.25">
      <c r="A6" s="43" t="s">
        <v>120</v>
      </c>
      <c r="B6" s="30"/>
      <c r="C6" s="34" t="s">
        <v>121</v>
      </c>
      <c r="D6" s="30"/>
      <c r="E6" s="30"/>
      <c r="F6" s="30"/>
      <c r="G6" s="30"/>
      <c r="H6" s="30"/>
    </row>
    <row r="7" spans="1:8" x14ac:dyDescent="0.25">
      <c r="A7" s="43" t="s">
        <v>122</v>
      </c>
      <c r="B7" s="30"/>
      <c r="C7" s="34" t="s">
        <v>123</v>
      </c>
      <c r="D7" s="30"/>
      <c r="E7" s="30"/>
      <c r="F7" s="30"/>
      <c r="G7" s="30"/>
      <c r="H7" s="30"/>
    </row>
    <row r="9" spans="1:8" x14ac:dyDescent="0.25">
      <c r="A9" s="27" t="s">
        <v>124</v>
      </c>
      <c r="B9" s="42"/>
      <c r="C9" s="42"/>
      <c r="D9" s="42"/>
      <c r="E9" s="42"/>
      <c r="F9" s="42"/>
      <c r="G9" s="42"/>
      <c r="H9" s="42"/>
    </row>
    <row r="10" spans="1:8" x14ac:dyDescent="0.25">
      <c r="A10" s="44" t="s">
        <v>125</v>
      </c>
      <c r="B10" s="30"/>
      <c r="C10" s="34" t="s">
        <v>126</v>
      </c>
      <c r="D10" s="30"/>
      <c r="E10" s="30"/>
      <c r="F10" s="30"/>
      <c r="G10" s="30"/>
      <c r="H10" s="30"/>
    </row>
    <row r="11" spans="1:8" x14ac:dyDescent="0.25">
      <c r="A11" s="44" t="s">
        <v>127</v>
      </c>
      <c r="B11" s="30"/>
      <c r="C11" s="34" t="s">
        <v>128</v>
      </c>
      <c r="D11" s="30"/>
      <c r="E11" s="30"/>
      <c r="F11" s="30"/>
      <c r="G11" s="30"/>
      <c r="H11" s="30"/>
    </row>
    <row r="12" spans="1:8" x14ac:dyDescent="0.25">
      <c r="A12" s="44" t="s">
        <v>129</v>
      </c>
      <c r="B12" s="30"/>
      <c r="C12" s="34" t="s">
        <v>130</v>
      </c>
      <c r="D12" s="30"/>
      <c r="E12" s="30"/>
      <c r="F12" s="30"/>
      <c r="G12" s="30"/>
      <c r="H12" s="30"/>
    </row>
    <row r="13" spans="1:8" x14ac:dyDescent="0.25">
      <c r="A13" s="44" t="s">
        <v>131</v>
      </c>
      <c r="B13" s="30"/>
      <c r="C13" s="34" t="s">
        <v>132</v>
      </c>
      <c r="D13" s="30"/>
      <c r="E13" s="30"/>
      <c r="F13" s="30"/>
      <c r="G13" s="30"/>
      <c r="H13" s="30"/>
    </row>
    <row r="15" spans="1:8" x14ac:dyDescent="0.25">
      <c r="A15" s="27" t="s">
        <v>133</v>
      </c>
      <c r="B15" s="42"/>
      <c r="C15" s="42"/>
      <c r="D15" s="42"/>
      <c r="E15" s="42"/>
      <c r="F15" s="42"/>
      <c r="G15" s="42"/>
      <c r="H15" s="42"/>
    </row>
    <row r="16" spans="1:8" x14ac:dyDescent="0.25">
      <c r="A16" s="34" t="s">
        <v>134</v>
      </c>
      <c r="B16" s="30"/>
      <c r="C16" s="30"/>
      <c r="D16" s="30"/>
      <c r="E16" s="30"/>
      <c r="F16" s="30"/>
      <c r="G16" s="30"/>
      <c r="H16" s="30"/>
    </row>
    <row r="17" spans="1:8" x14ac:dyDescent="0.25">
      <c r="A17" s="30"/>
      <c r="B17" s="30"/>
      <c r="C17" s="30"/>
      <c r="D17" s="30"/>
      <c r="E17" s="30"/>
      <c r="F17" s="30"/>
      <c r="G17" s="30"/>
      <c r="H17" s="30"/>
    </row>
    <row r="18" spans="1:8" x14ac:dyDescent="0.25">
      <c r="A18" s="30"/>
      <c r="B18" s="30"/>
      <c r="C18" s="30"/>
      <c r="D18" s="30"/>
      <c r="E18" s="30"/>
      <c r="F18" s="30"/>
      <c r="G18" s="30"/>
      <c r="H18" s="30"/>
    </row>
    <row r="19" spans="1:8" x14ac:dyDescent="0.25">
      <c r="A19" s="30"/>
      <c r="B19" s="30"/>
      <c r="C19" s="30"/>
      <c r="D19" s="30"/>
      <c r="E19" s="30"/>
      <c r="F19" s="30"/>
      <c r="G19" s="30"/>
      <c r="H19" s="30"/>
    </row>
    <row r="21" spans="1:8" x14ac:dyDescent="0.25">
      <c r="A21" s="27" t="s">
        <v>135</v>
      </c>
      <c r="B21" s="42"/>
      <c r="C21" s="42"/>
      <c r="D21" s="42"/>
      <c r="E21" s="42"/>
      <c r="F21" s="42"/>
      <c r="G21" s="42"/>
      <c r="H21" s="42"/>
    </row>
    <row r="22" spans="1:8" x14ac:dyDescent="0.25">
      <c r="A22" s="34" t="s">
        <v>136</v>
      </c>
      <c r="B22" s="30"/>
      <c r="C22" s="30"/>
      <c r="D22" s="30"/>
      <c r="E22" s="30"/>
      <c r="F22" s="30"/>
      <c r="G22" s="30"/>
      <c r="H22" s="30"/>
    </row>
    <row r="23" spans="1:8" x14ac:dyDescent="0.25">
      <c r="A23" s="30"/>
      <c r="B23" s="30"/>
      <c r="C23" s="30"/>
      <c r="D23" s="30"/>
      <c r="E23" s="30"/>
      <c r="F23" s="30"/>
      <c r="G23" s="30"/>
      <c r="H23" s="30"/>
    </row>
    <row r="24" spans="1:8" x14ac:dyDescent="0.25">
      <c r="A24" s="30"/>
      <c r="B24" s="30"/>
      <c r="C24" s="30"/>
      <c r="D24" s="30"/>
      <c r="E24" s="30"/>
      <c r="F24" s="30"/>
      <c r="G24" s="30"/>
      <c r="H24" s="30"/>
    </row>
    <row r="26" spans="1:8" x14ac:dyDescent="0.25">
      <c r="A26" s="27" t="s">
        <v>137</v>
      </c>
      <c r="B26" s="42"/>
      <c r="C26" s="42"/>
      <c r="D26" s="42"/>
      <c r="E26" s="42"/>
      <c r="F26" s="42"/>
      <c r="G26" s="42"/>
      <c r="H26" s="42"/>
    </row>
    <row r="27" spans="1:8" x14ac:dyDescent="0.25">
      <c r="A27" s="34" t="s">
        <v>138</v>
      </c>
      <c r="B27" s="30"/>
      <c r="C27" s="30"/>
      <c r="D27" s="30"/>
      <c r="E27" s="30"/>
      <c r="F27" s="30"/>
      <c r="G27" s="30"/>
      <c r="H27" s="30"/>
    </row>
    <row r="28" spans="1:8" x14ac:dyDescent="0.25">
      <c r="A28" s="1" t="s">
        <v>139</v>
      </c>
      <c r="B28" s="1" t="s">
        <v>140</v>
      </c>
      <c r="C28" s="1" t="s">
        <v>141</v>
      </c>
      <c r="D28" s="1" t="s">
        <v>26</v>
      </c>
      <c r="E28" s="30"/>
      <c r="F28" s="30"/>
      <c r="G28" s="30"/>
      <c r="H28" s="30"/>
    </row>
    <row r="29" spans="1:8" ht="30" x14ac:dyDescent="0.25">
      <c r="A29" s="19" t="s">
        <v>142</v>
      </c>
      <c r="B29" s="19" t="s">
        <v>143</v>
      </c>
      <c r="C29" s="2"/>
      <c r="D29" s="19"/>
      <c r="E29" s="30"/>
      <c r="F29" s="30"/>
      <c r="G29" s="30"/>
      <c r="H29" s="30"/>
    </row>
    <row r="30" spans="1:8" ht="45" x14ac:dyDescent="0.25">
      <c r="A30" s="19" t="s">
        <v>144</v>
      </c>
      <c r="B30" s="19" t="s">
        <v>145</v>
      </c>
      <c r="C30" s="2"/>
      <c r="D30" s="19" t="s">
        <v>146</v>
      </c>
      <c r="E30" s="30"/>
      <c r="F30" s="30"/>
      <c r="G30" s="30"/>
      <c r="H30" s="30"/>
    </row>
    <row r="31" spans="1:8" x14ac:dyDescent="0.25">
      <c r="A31" s="19" t="s">
        <v>147</v>
      </c>
      <c r="B31" s="19" t="s">
        <v>148</v>
      </c>
      <c r="C31" s="2"/>
      <c r="D31" s="19"/>
      <c r="E31" s="30"/>
      <c r="F31" s="30"/>
      <c r="G31" s="30"/>
      <c r="H31" s="30"/>
    </row>
    <row r="32" spans="1:8" x14ac:dyDescent="0.25">
      <c r="A32" s="19" t="s">
        <v>149</v>
      </c>
      <c r="B32" s="19" t="s">
        <v>150</v>
      </c>
      <c r="C32" s="2"/>
      <c r="D32" s="19"/>
      <c r="E32" s="30"/>
      <c r="F32" s="30"/>
      <c r="G32" s="30"/>
      <c r="H32" s="30"/>
    </row>
    <row r="33" spans="1:8" x14ac:dyDescent="0.25">
      <c r="A33" s="19" t="s">
        <v>151</v>
      </c>
      <c r="B33" s="19" t="s">
        <v>152</v>
      </c>
      <c r="C33" s="2"/>
      <c r="D33" s="19"/>
      <c r="E33" s="30"/>
      <c r="F33" s="30"/>
      <c r="G33" s="30"/>
      <c r="H33" s="30"/>
    </row>
  </sheetData>
  <mergeCells count="31">
    <mergeCell ref="E30:H30"/>
    <mergeCell ref="A13:B13"/>
    <mergeCell ref="A16:H19"/>
    <mergeCell ref="C4:H4"/>
    <mergeCell ref="A22:H24"/>
    <mergeCell ref="A9:H9"/>
    <mergeCell ref="C10:H10"/>
    <mergeCell ref="A15:H15"/>
    <mergeCell ref="A11:B11"/>
    <mergeCell ref="E32:H32"/>
    <mergeCell ref="A6:B6"/>
    <mergeCell ref="C11:H11"/>
    <mergeCell ref="A7:B7"/>
    <mergeCell ref="E33:H33"/>
    <mergeCell ref="A27:H27"/>
    <mergeCell ref="C7:H7"/>
    <mergeCell ref="A12:B12"/>
    <mergeCell ref="A21:H21"/>
    <mergeCell ref="A26:H26"/>
    <mergeCell ref="C13:H13"/>
    <mergeCell ref="E29:H29"/>
    <mergeCell ref="E28:H28"/>
    <mergeCell ref="C6:H6"/>
    <mergeCell ref="E31:H31"/>
    <mergeCell ref="A10:B10"/>
    <mergeCell ref="A1:H1"/>
    <mergeCell ref="C12:H12"/>
    <mergeCell ref="A3:H3"/>
    <mergeCell ref="A5:B5"/>
    <mergeCell ref="A4:B4"/>
    <mergeCell ref="C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1"/>
  <sheetViews>
    <sheetView showGridLines="0" topLeftCell="A23" zoomScale="190" zoomScaleNormal="190" workbookViewId="0">
      <selection activeCell="A37" sqref="A13:XFD37"/>
    </sheetView>
  </sheetViews>
  <sheetFormatPr defaultColWidth="8.85546875" defaultRowHeight="15" x14ac:dyDescent="0.25"/>
  <cols>
    <col min="1" max="1" width="19.7109375" style="17" bestFit="1" customWidth="1"/>
    <col min="2" max="2" width="11.140625" style="17" bestFit="1" customWidth="1"/>
    <col min="3" max="3" width="15" style="17" bestFit="1" customWidth="1"/>
    <col min="4" max="4" width="18.42578125" style="17" bestFit="1" customWidth="1"/>
    <col min="5" max="5" width="25.5703125" style="17" bestFit="1" customWidth="1"/>
    <col min="6" max="6" width="16.28515625" style="17" bestFit="1" customWidth="1"/>
    <col min="7" max="7" width="9.42578125" style="17" customWidth="1"/>
    <col min="8" max="8" width="5.85546875" style="17" bestFit="1" customWidth="1"/>
    <col min="9" max="9" width="19.7109375" style="17" customWidth="1"/>
    <col min="10" max="10" width="9.5703125" style="17" bestFit="1" customWidth="1"/>
    <col min="11" max="11" width="10.85546875" style="17" bestFit="1" customWidth="1"/>
    <col min="12" max="12" width="9.7109375" style="17" bestFit="1" customWidth="1"/>
    <col min="13" max="13" width="7.28515625" style="17" bestFit="1" customWidth="1"/>
    <col min="14" max="14" width="4.7109375" style="17" bestFit="1" customWidth="1"/>
    <col min="15" max="15" width="5.140625" style="17" bestFit="1" customWidth="1"/>
    <col min="16" max="16" width="4.7109375" style="17" bestFit="1" customWidth="1"/>
    <col min="17" max="17" width="67" style="17" customWidth="1"/>
    <col min="18" max="18" width="8.85546875" style="17" customWidth="1"/>
    <col min="19" max="16384" width="8.85546875" style="17"/>
  </cols>
  <sheetData>
    <row r="1" spans="1:17" ht="21" x14ac:dyDescent="0.25">
      <c r="A1" s="29" t="s">
        <v>153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7" x14ac:dyDescent="0.25">
      <c r="A2" s="20" t="s">
        <v>154</v>
      </c>
      <c r="B2" s="21">
        <v>46089</v>
      </c>
      <c r="C2" s="20" t="s">
        <v>155</v>
      </c>
      <c r="D2" s="22">
        <v>20</v>
      </c>
      <c r="E2" s="20" t="s">
        <v>157</v>
      </c>
      <c r="F2" s="22" t="s">
        <v>158</v>
      </c>
      <c r="G2" s="20" t="s">
        <v>159</v>
      </c>
      <c r="H2" s="32"/>
      <c r="I2" s="30"/>
      <c r="J2" s="30"/>
      <c r="K2" s="30"/>
      <c r="L2" s="30"/>
      <c r="M2" s="30"/>
      <c r="N2" s="30"/>
    </row>
    <row r="4" spans="1:17" ht="31.5" x14ac:dyDescent="0.25">
      <c r="A4" s="3" t="s">
        <v>2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  <c r="I4" s="3" t="s">
        <v>167</v>
      </c>
      <c r="J4" s="3" t="s">
        <v>168</v>
      </c>
      <c r="K4" s="3" t="s">
        <v>169</v>
      </c>
      <c r="L4" s="3" t="s">
        <v>170</v>
      </c>
      <c r="M4" s="3" t="s">
        <v>171</v>
      </c>
      <c r="N4" s="3" t="s">
        <v>172</v>
      </c>
      <c r="O4" s="3" t="s">
        <v>173</v>
      </c>
      <c r="P4" s="3" t="s">
        <v>174</v>
      </c>
      <c r="Q4" s="3" t="s">
        <v>175</v>
      </c>
    </row>
    <row r="5" spans="1:17" ht="25.5" x14ac:dyDescent="0.25">
      <c r="A5" s="4" t="s">
        <v>176</v>
      </c>
      <c r="B5" s="5">
        <f>IF($B$2="","",$B$2+0)</f>
        <v>46089</v>
      </c>
      <c r="C5" s="4" t="s">
        <v>177</v>
      </c>
      <c r="D5" s="4" t="s">
        <v>178</v>
      </c>
      <c r="E5" s="4" t="s">
        <v>179</v>
      </c>
      <c r="F5" s="4" t="s">
        <v>180</v>
      </c>
      <c r="G5" s="4" t="s">
        <v>181</v>
      </c>
      <c r="H5" s="4" t="s">
        <v>156</v>
      </c>
      <c r="I5" s="4" t="s">
        <v>182</v>
      </c>
      <c r="J5" s="4" t="s">
        <v>183</v>
      </c>
      <c r="K5" s="4" t="s">
        <v>183</v>
      </c>
      <c r="L5" s="6"/>
      <c r="M5" s="6"/>
      <c r="N5" s="6"/>
      <c r="O5" s="6"/>
      <c r="P5" s="6"/>
      <c r="Q5" s="6"/>
    </row>
    <row r="6" spans="1:17" ht="25.5" x14ac:dyDescent="0.25">
      <c r="A6" s="4" t="s">
        <v>184</v>
      </c>
      <c r="B6" s="5">
        <f>IF($B$2="","",$B$2+1)</f>
        <v>46090</v>
      </c>
      <c r="C6" s="4" t="s">
        <v>266</v>
      </c>
      <c r="D6" s="4" t="s">
        <v>186</v>
      </c>
      <c r="E6" s="4" t="s">
        <v>187</v>
      </c>
      <c r="F6" s="4" t="s">
        <v>188</v>
      </c>
      <c r="G6" s="4"/>
      <c r="H6" s="4"/>
      <c r="I6" s="4" t="s">
        <v>189</v>
      </c>
      <c r="J6" s="4" t="s">
        <v>190</v>
      </c>
      <c r="K6" s="4" t="s">
        <v>190</v>
      </c>
      <c r="L6" s="6" t="s">
        <v>191</v>
      </c>
      <c r="M6" s="6"/>
      <c r="N6" s="6"/>
      <c r="O6" s="6"/>
      <c r="P6" s="6"/>
      <c r="Q6" s="6" t="s">
        <v>267</v>
      </c>
    </row>
    <row r="7" spans="1:17" ht="38.25" x14ac:dyDescent="0.25">
      <c r="A7" s="4" t="s">
        <v>192</v>
      </c>
      <c r="B7" s="5">
        <f>IF($B$2="","",$B$2+2)</f>
        <v>46091</v>
      </c>
      <c r="C7" s="4" t="s">
        <v>193</v>
      </c>
      <c r="D7" s="4" t="s">
        <v>194</v>
      </c>
      <c r="E7" s="4" t="s">
        <v>195</v>
      </c>
      <c r="F7" s="4" t="s">
        <v>196</v>
      </c>
      <c r="G7" s="4"/>
      <c r="H7" s="4"/>
      <c r="I7" s="4" t="s">
        <v>197</v>
      </c>
      <c r="J7" s="4" t="s">
        <v>198</v>
      </c>
      <c r="K7" s="4" t="s">
        <v>198</v>
      </c>
      <c r="L7" s="6"/>
      <c r="M7" s="6"/>
      <c r="N7" s="6"/>
      <c r="O7" s="6"/>
      <c r="P7" s="6"/>
      <c r="Q7" s="6"/>
    </row>
    <row r="8" spans="1:17" ht="25.5" x14ac:dyDescent="0.25">
      <c r="A8" s="4" t="s">
        <v>199</v>
      </c>
      <c r="B8" s="5">
        <f>IF($B$2="","",$B$2+3)</f>
        <v>46092</v>
      </c>
      <c r="C8" s="4" t="s">
        <v>200</v>
      </c>
      <c r="D8" s="4" t="s">
        <v>201</v>
      </c>
      <c r="E8" s="4" t="s">
        <v>202</v>
      </c>
      <c r="F8" s="4" t="s">
        <v>203</v>
      </c>
      <c r="G8" s="4" t="s">
        <v>204</v>
      </c>
      <c r="H8" s="4" t="s">
        <v>156</v>
      </c>
      <c r="I8" s="4" t="s">
        <v>205</v>
      </c>
      <c r="J8" s="4" t="s">
        <v>183</v>
      </c>
      <c r="K8" s="4" t="s">
        <v>183</v>
      </c>
      <c r="L8" s="6"/>
      <c r="M8" s="6"/>
      <c r="N8" s="6"/>
      <c r="O8" s="6"/>
      <c r="P8" s="6"/>
      <c r="Q8" s="6"/>
    </row>
    <row r="9" spans="1:17" ht="25.5" x14ac:dyDescent="0.25">
      <c r="A9" s="4" t="s">
        <v>206</v>
      </c>
      <c r="B9" s="5">
        <f>IF($B$2="","",$B$2+4)</f>
        <v>46093</v>
      </c>
      <c r="C9" s="14">
        <v>0.625</v>
      </c>
      <c r="D9" s="4" t="s">
        <v>186</v>
      </c>
      <c r="E9" s="4" t="s">
        <v>187</v>
      </c>
      <c r="F9" s="4" t="s">
        <v>188</v>
      </c>
      <c r="G9" s="4"/>
      <c r="H9" s="4"/>
      <c r="I9" s="4" t="s">
        <v>189</v>
      </c>
      <c r="J9" s="4" t="s">
        <v>190</v>
      </c>
      <c r="K9" s="4" t="s">
        <v>190</v>
      </c>
      <c r="L9" s="6"/>
      <c r="M9" s="6"/>
      <c r="N9" s="6"/>
      <c r="O9" s="6"/>
      <c r="P9" s="6"/>
      <c r="Q9" s="6"/>
    </row>
    <row r="10" spans="1:17" ht="25.5" x14ac:dyDescent="0.25">
      <c r="A10" s="4" t="s">
        <v>207</v>
      </c>
      <c r="B10" s="5">
        <f>IF($B$2="","",$B$2+5)</f>
        <v>46094</v>
      </c>
      <c r="C10" s="14">
        <v>0.5</v>
      </c>
      <c r="D10" s="4" t="s">
        <v>208</v>
      </c>
      <c r="E10" s="4" t="s">
        <v>209</v>
      </c>
      <c r="F10" s="4" t="s">
        <v>210</v>
      </c>
      <c r="G10" s="4" t="s">
        <v>211</v>
      </c>
      <c r="H10" s="4"/>
      <c r="I10" s="4" t="s">
        <v>212</v>
      </c>
      <c r="J10" s="4" t="s">
        <v>213</v>
      </c>
      <c r="K10" s="4" t="s">
        <v>213</v>
      </c>
      <c r="L10" s="6"/>
      <c r="M10" s="6"/>
      <c r="N10" s="6"/>
      <c r="O10" s="6"/>
      <c r="P10" s="6"/>
      <c r="Q10" s="6"/>
    </row>
    <row r="11" spans="1:17" ht="38.25" x14ac:dyDescent="0.25">
      <c r="A11" s="4" t="s">
        <v>214</v>
      </c>
      <c r="B11" s="5">
        <f>IF($B$2="","",$B$2+6)</f>
        <v>46095</v>
      </c>
      <c r="C11" s="4" t="s">
        <v>215</v>
      </c>
      <c r="D11" s="4" t="s">
        <v>216</v>
      </c>
      <c r="E11" s="4" t="s">
        <v>217</v>
      </c>
      <c r="F11" s="4" t="s">
        <v>218</v>
      </c>
      <c r="G11" s="4"/>
      <c r="H11" s="4"/>
      <c r="I11" s="4" t="s">
        <v>219</v>
      </c>
      <c r="J11" s="4" t="s">
        <v>220</v>
      </c>
      <c r="K11" s="4" t="s">
        <v>220</v>
      </c>
      <c r="L11" s="6"/>
      <c r="M11" s="6"/>
      <c r="N11" s="6"/>
      <c r="O11" s="6"/>
      <c r="P11" s="6"/>
      <c r="Q11" s="6"/>
    </row>
    <row r="13" spans="1:17" x14ac:dyDescent="0.25">
      <c r="A13" s="27" t="s">
        <v>221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1:17" x14ac:dyDescent="0.25">
      <c r="A14" s="1" t="s">
        <v>222</v>
      </c>
      <c r="B14" s="1" t="s">
        <v>223</v>
      </c>
      <c r="C14" s="1" t="s">
        <v>275</v>
      </c>
      <c r="D14" s="1" t="s">
        <v>225</v>
      </c>
      <c r="E14" s="1" t="s">
        <v>226</v>
      </c>
      <c r="F14" s="31" t="s">
        <v>26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</row>
    <row r="15" spans="1:17" x14ac:dyDescent="0.25">
      <c r="A15" s="4" t="s">
        <v>227</v>
      </c>
      <c r="B15" s="4" t="s">
        <v>228</v>
      </c>
      <c r="C15" s="4">
        <v>12</v>
      </c>
      <c r="D15" s="6"/>
      <c r="E15" s="6"/>
      <c r="F15" s="45" t="s">
        <v>269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</row>
    <row r="16" spans="1:17" x14ac:dyDescent="0.25">
      <c r="A16" s="4" t="s">
        <v>229</v>
      </c>
      <c r="B16" s="4" t="s">
        <v>228</v>
      </c>
      <c r="C16" s="4">
        <v>12</v>
      </c>
      <c r="D16" s="6"/>
      <c r="E16" s="6"/>
      <c r="F16" s="45" t="s">
        <v>270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</row>
    <row r="17" spans="1:17" x14ac:dyDescent="0.25">
      <c r="A17" s="4" t="s">
        <v>230</v>
      </c>
      <c r="B17" s="4" t="s">
        <v>228</v>
      </c>
      <c r="C17" s="4">
        <v>12</v>
      </c>
      <c r="D17" s="6"/>
      <c r="E17" s="6"/>
      <c r="F17" s="45" t="s">
        <v>271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</row>
    <row r="18" spans="1:17" x14ac:dyDescent="0.25">
      <c r="A18" s="4" t="s">
        <v>268</v>
      </c>
      <c r="B18" s="4">
        <v>3</v>
      </c>
      <c r="C18" s="4">
        <v>12</v>
      </c>
      <c r="D18" s="6"/>
      <c r="E18" s="6"/>
      <c r="F18" s="45" t="s">
        <v>272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</row>
    <row r="19" spans="1:17" x14ac:dyDescent="0.25">
      <c r="A19" s="4" t="s">
        <v>231</v>
      </c>
      <c r="B19" s="4" t="s">
        <v>228</v>
      </c>
      <c r="C19" s="4">
        <v>12</v>
      </c>
      <c r="D19" s="6"/>
      <c r="E19" s="6"/>
      <c r="F19" s="45" t="s">
        <v>273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4"/>
    </row>
    <row r="20" spans="1:17" x14ac:dyDescent="0.25">
      <c r="A20" s="4" t="s">
        <v>233</v>
      </c>
      <c r="B20" s="4">
        <v>4</v>
      </c>
      <c r="C20" s="4">
        <v>12</v>
      </c>
      <c r="D20" s="6"/>
      <c r="E20" s="6"/>
      <c r="F20" s="23" t="s">
        <v>234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4"/>
    </row>
    <row r="21" spans="1:17" x14ac:dyDescent="0.25">
      <c r="A21" s="4" t="s">
        <v>235</v>
      </c>
      <c r="B21" s="4">
        <v>4</v>
      </c>
      <c r="C21" s="4">
        <v>12</v>
      </c>
      <c r="D21" s="6"/>
      <c r="E21" s="6"/>
      <c r="F21" s="23" t="s">
        <v>234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4"/>
    </row>
    <row r="22" spans="1:17" x14ac:dyDescent="0.25">
      <c r="A22" s="4" t="s">
        <v>232</v>
      </c>
      <c r="B22" s="4">
        <v>3</v>
      </c>
      <c r="C22" s="4" t="s">
        <v>274</v>
      </c>
      <c r="D22" s="6"/>
      <c r="E22" s="6"/>
      <c r="F22" s="45" t="s">
        <v>276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4"/>
    </row>
    <row r="23" spans="1:17" x14ac:dyDescent="0.25">
      <c r="A23" s="4" t="s">
        <v>236</v>
      </c>
      <c r="B23" s="4" t="s">
        <v>228</v>
      </c>
      <c r="C23" s="4" t="s">
        <v>237</v>
      </c>
      <c r="D23" s="6" t="s">
        <v>238</v>
      </c>
      <c r="E23" s="6"/>
      <c r="F23" s="23" t="s">
        <v>239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1:17" x14ac:dyDescent="0.25">
      <c r="A24" s="4" t="s">
        <v>240</v>
      </c>
      <c r="B24" s="4">
        <v>3</v>
      </c>
      <c r="C24" s="4" t="s">
        <v>278</v>
      </c>
      <c r="D24" s="6" t="s">
        <v>238</v>
      </c>
      <c r="E24" s="6"/>
      <c r="F24" s="23" t="s">
        <v>277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4"/>
    </row>
    <row r="26" spans="1:17" x14ac:dyDescent="0.25">
      <c r="A26" s="27" t="s">
        <v>241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7" x14ac:dyDescent="0.25">
      <c r="A27" s="1" t="s">
        <v>222</v>
      </c>
      <c r="B27" s="1" t="s">
        <v>223</v>
      </c>
      <c r="C27" s="1" t="s">
        <v>224</v>
      </c>
      <c r="D27" s="1" t="s">
        <v>225</v>
      </c>
      <c r="E27" s="1" t="s">
        <v>226</v>
      </c>
      <c r="F27" s="31" t="s">
        <v>26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4"/>
    </row>
    <row r="28" spans="1:17" x14ac:dyDescent="0.25">
      <c r="A28" s="4" t="s">
        <v>227</v>
      </c>
      <c r="B28" s="4" t="s">
        <v>228</v>
      </c>
      <c r="C28" s="4">
        <v>12</v>
      </c>
      <c r="D28" s="6"/>
      <c r="E28" s="6"/>
      <c r="F28" s="45" t="s">
        <v>269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4"/>
    </row>
    <row r="29" spans="1:17" x14ac:dyDescent="0.25">
      <c r="A29" s="4" t="s">
        <v>229</v>
      </c>
      <c r="B29" s="4" t="s">
        <v>228</v>
      </c>
      <c r="C29" s="4">
        <v>12</v>
      </c>
      <c r="D29" s="6"/>
      <c r="E29" s="6"/>
      <c r="F29" s="45" t="s">
        <v>270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4"/>
    </row>
    <row r="30" spans="1:17" x14ac:dyDescent="0.25">
      <c r="A30" s="4" t="s">
        <v>230</v>
      </c>
      <c r="B30" s="4" t="s">
        <v>228</v>
      </c>
      <c r="C30" s="4">
        <v>12</v>
      </c>
      <c r="D30" s="6"/>
      <c r="E30" s="6"/>
      <c r="F30" s="45" t="s">
        <v>271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4"/>
    </row>
    <row r="31" spans="1:17" x14ac:dyDescent="0.25">
      <c r="A31" s="4" t="s">
        <v>268</v>
      </c>
      <c r="B31" s="4">
        <v>3</v>
      </c>
      <c r="C31" s="4">
        <v>12</v>
      </c>
      <c r="D31" s="6"/>
      <c r="E31" s="6"/>
      <c r="F31" s="45" t="s">
        <v>272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/>
    </row>
    <row r="32" spans="1:17" x14ac:dyDescent="0.25">
      <c r="A32" s="4" t="s">
        <v>231</v>
      </c>
      <c r="B32" s="4" t="s">
        <v>228</v>
      </c>
      <c r="C32" s="4">
        <v>12</v>
      </c>
      <c r="D32" s="6"/>
      <c r="E32" s="6"/>
      <c r="F32" s="45" t="s">
        <v>273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</row>
    <row r="33" spans="1:17" x14ac:dyDescent="0.25">
      <c r="A33" s="4" t="s">
        <v>233</v>
      </c>
      <c r="B33" s="4">
        <v>4</v>
      </c>
      <c r="C33" s="4">
        <v>12</v>
      </c>
      <c r="D33" s="6"/>
      <c r="E33" s="6"/>
      <c r="F33" s="23" t="s">
        <v>234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</row>
    <row r="34" spans="1:17" x14ac:dyDescent="0.25">
      <c r="A34" s="4" t="s">
        <v>235</v>
      </c>
      <c r="B34" s="4">
        <v>4</v>
      </c>
      <c r="C34" s="4">
        <v>12</v>
      </c>
      <c r="D34" s="6"/>
      <c r="E34" s="6"/>
      <c r="F34" s="23" t="s">
        <v>234</v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4"/>
    </row>
    <row r="35" spans="1:17" x14ac:dyDescent="0.25">
      <c r="A35" s="4" t="s">
        <v>232</v>
      </c>
      <c r="B35" s="4">
        <v>3</v>
      </c>
      <c r="C35" s="4" t="s">
        <v>274</v>
      </c>
      <c r="D35" s="6"/>
      <c r="E35" s="6"/>
      <c r="F35" s="45" t="s">
        <v>276</v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4"/>
    </row>
    <row r="36" spans="1:17" x14ac:dyDescent="0.25">
      <c r="A36" s="4" t="s">
        <v>236</v>
      </c>
      <c r="B36" s="4" t="s">
        <v>228</v>
      </c>
      <c r="C36" s="4" t="s">
        <v>237</v>
      </c>
      <c r="D36" s="6" t="s">
        <v>238</v>
      </c>
      <c r="E36" s="6"/>
      <c r="F36" s="23" t="s">
        <v>239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4"/>
    </row>
    <row r="37" spans="1:17" x14ac:dyDescent="0.25">
      <c r="A37" s="4" t="s">
        <v>240</v>
      </c>
      <c r="B37" s="4">
        <v>3</v>
      </c>
      <c r="C37" s="4" t="s">
        <v>278</v>
      </c>
      <c r="D37" s="6" t="s">
        <v>238</v>
      </c>
      <c r="E37" s="6"/>
      <c r="F37" s="23" t="s">
        <v>277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</row>
    <row r="39" spans="1:17" x14ac:dyDescent="0.25">
      <c r="A39" s="27" t="s">
        <v>242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</row>
    <row r="40" spans="1:17" x14ac:dyDescent="0.25">
      <c r="A40" s="1" t="s">
        <v>243</v>
      </c>
      <c r="B40" s="1" t="s">
        <v>244</v>
      </c>
      <c r="C40" s="1" t="s">
        <v>245</v>
      </c>
      <c r="D40" s="1" t="s">
        <v>246</v>
      </c>
      <c r="E40" s="1" t="s">
        <v>172</v>
      </c>
      <c r="F40" s="31" t="s">
        <v>26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4"/>
    </row>
    <row r="41" spans="1:17" ht="38.25" x14ac:dyDescent="0.25">
      <c r="A41" s="4" t="s">
        <v>247</v>
      </c>
      <c r="B41" s="6" t="s">
        <v>248</v>
      </c>
      <c r="C41" s="6" t="s">
        <v>249</v>
      </c>
      <c r="D41" s="6" t="s">
        <v>250</v>
      </c>
      <c r="E41" s="6"/>
      <c r="F41" s="2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4"/>
    </row>
    <row r="43" spans="1:17" x14ac:dyDescent="0.25">
      <c r="A43" s="27" t="s">
        <v>251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17" x14ac:dyDescent="0.25">
      <c r="A44" s="13" t="s">
        <v>252</v>
      </c>
      <c r="B44" s="26"/>
      <c r="C44" s="53"/>
      <c r="D44" s="54"/>
      <c r="E44" s="26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4"/>
    </row>
    <row r="45" spans="1:17" x14ac:dyDescent="0.25">
      <c r="A45" s="13" t="s">
        <v>253</v>
      </c>
      <c r="B45" s="26"/>
      <c r="C45" s="53"/>
      <c r="D45" s="54"/>
      <c r="E45" s="26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4"/>
    </row>
    <row r="46" spans="1:17" x14ac:dyDescent="0.25">
      <c r="A46" s="13" t="s">
        <v>254</v>
      </c>
      <c r="B46" s="26"/>
      <c r="C46" s="53"/>
      <c r="D46" s="54"/>
      <c r="E46" s="26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4"/>
    </row>
    <row r="47" spans="1:17" x14ac:dyDescent="0.25">
      <c r="A47" s="13" t="s">
        <v>255</v>
      </c>
      <c r="B47" s="26"/>
      <c r="C47" s="53"/>
      <c r="D47" s="54"/>
      <c r="E47" s="26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4"/>
    </row>
    <row r="48" spans="1:17" x14ac:dyDescent="0.25">
      <c r="A48" s="13" t="s">
        <v>256</v>
      </c>
      <c r="B48" s="26"/>
      <c r="C48" s="53"/>
      <c r="D48" s="54"/>
      <c r="E48" s="26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4"/>
    </row>
    <row r="49" spans="1:17" x14ac:dyDescent="0.25">
      <c r="A49" s="13" t="s">
        <v>257</v>
      </c>
      <c r="B49" s="26"/>
      <c r="C49" s="53"/>
      <c r="D49" s="54"/>
      <c r="E49" s="26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4"/>
    </row>
    <row r="50" spans="1:17" x14ac:dyDescent="0.25">
      <c r="A50" s="13" t="s">
        <v>258</v>
      </c>
      <c r="B50" s="26"/>
      <c r="C50" s="53"/>
      <c r="D50" s="54"/>
      <c r="E50" s="26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4"/>
    </row>
    <row r="51" spans="1:17" x14ac:dyDescent="0.25">
      <c r="A51" s="13" t="s">
        <v>26</v>
      </c>
      <c r="B51" s="26"/>
      <c r="C51" s="53"/>
      <c r="D51" s="54"/>
      <c r="E51" s="26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4"/>
    </row>
  </sheetData>
  <mergeCells count="46">
    <mergeCell ref="B51:D51"/>
    <mergeCell ref="F37:Q37"/>
    <mergeCell ref="B45:D45"/>
    <mergeCell ref="B50:D50"/>
    <mergeCell ref="A26:Q26"/>
    <mergeCell ref="E48:Q48"/>
    <mergeCell ref="E51:Q51"/>
    <mergeCell ref="E44:Q44"/>
    <mergeCell ref="B47:D47"/>
    <mergeCell ref="F29:Q29"/>
    <mergeCell ref="F34:Q34"/>
    <mergeCell ref="B46:D46"/>
    <mergeCell ref="A43:Q43"/>
    <mergeCell ref="F40:Q40"/>
    <mergeCell ref="F30:Q30"/>
    <mergeCell ref="B48:D48"/>
    <mergeCell ref="E47:Q47"/>
    <mergeCell ref="B49:D49"/>
    <mergeCell ref="F31:Q31"/>
    <mergeCell ref="E50:Q50"/>
    <mergeCell ref="F21:Q21"/>
    <mergeCell ref="F27:Q27"/>
    <mergeCell ref="E49:Q49"/>
    <mergeCell ref="E46:Q46"/>
    <mergeCell ref="F41:Q41"/>
    <mergeCell ref="F22:Q22"/>
    <mergeCell ref="F28:Q28"/>
    <mergeCell ref="F32:Q32"/>
    <mergeCell ref="F33:Q33"/>
    <mergeCell ref="F35:Q35"/>
    <mergeCell ref="F17:Q17"/>
    <mergeCell ref="A1:N1"/>
    <mergeCell ref="F23:Q23"/>
    <mergeCell ref="A13:Q13"/>
    <mergeCell ref="F14:Q14"/>
    <mergeCell ref="F20:Q20"/>
    <mergeCell ref="F16:Q16"/>
    <mergeCell ref="F19:Q19"/>
    <mergeCell ref="H2:N2"/>
    <mergeCell ref="F15:Q15"/>
    <mergeCell ref="F18:Q18"/>
    <mergeCell ref="F24:Q24"/>
    <mergeCell ref="E45:Q45"/>
    <mergeCell ref="A39:Q39"/>
    <mergeCell ref="F36:Q36"/>
    <mergeCell ref="B44:D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1"/>
  <sheetViews>
    <sheetView showGridLines="0" topLeftCell="A9" workbookViewId="0">
      <selection activeCell="A13" sqref="A13:XFD37"/>
    </sheetView>
  </sheetViews>
  <sheetFormatPr defaultColWidth="8.85546875" defaultRowHeight="15" x14ac:dyDescent="0.25"/>
  <cols>
    <col min="1" max="1" width="29.7109375" style="7" customWidth="1"/>
    <col min="2" max="2" width="14" style="7" customWidth="1"/>
    <col min="3" max="3" width="17.42578125" style="7" customWidth="1"/>
    <col min="4" max="4" width="20" style="7" customWidth="1"/>
    <col min="5" max="5" width="26" style="7" customWidth="1"/>
    <col min="6" max="6" width="18.5703125" style="7" customWidth="1"/>
    <col min="7" max="7" width="10" style="7" customWidth="1"/>
    <col min="8" max="8" width="9" style="7" customWidth="1"/>
    <col min="9" max="9" width="22.140625" style="7" customWidth="1"/>
    <col min="10" max="10" width="10" style="7" customWidth="1"/>
    <col min="11" max="11" width="16.140625" style="7" customWidth="1"/>
    <col min="12" max="12" width="12" style="7" customWidth="1"/>
    <col min="13" max="13" width="10" style="7" customWidth="1"/>
    <col min="14" max="15" width="7.85546875" style="7" customWidth="1"/>
    <col min="16" max="16" width="6" style="7" customWidth="1"/>
    <col min="17" max="17" width="28" style="7" customWidth="1"/>
    <col min="18" max="18" width="8.85546875" style="7" customWidth="1"/>
    <col min="19" max="16384" width="8.85546875" style="7"/>
  </cols>
  <sheetData>
    <row r="1" spans="1:17" ht="21" customHeight="1" x14ac:dyDescent="0.35">
      <c r="A1" s="50" t="s">
        <v>259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x14ac:dyDescent="0.25">
      <c r="A2" s="8" t="s">
        <v>154</v>
      </c>
      <c r="B2" s="9">
        <v>46069</v>
      </c>
      <c r="C2" s="8" t="s">
        <v>155</v>
      </c>
      <c r="D2" s="10" t="s">
        <v>156</v>
      </c>
      <c r="E2" s="8" t="s">
        <v>157</v>
      </c>
      <c r="F2" s="10" t="s">
        <v>158</v>
      </c>
      <c r="G2" s="8" t="s">
        <v>159</v>
      </c>
      <c r="H2" s="52"/>
      <c r="I2" s="51"/>
      <c r="J2" s="51"/>
      <c r="K2" s="51"/>
      <c r="L2" s="51"/>
      <c r="M2" s="51"/>
      <c r="N2" s="51"/>
    </row>
    <row r="4" spans="1:17" ht="28.15" customHeight="1" x14ac:dyDescent="0.25">
      <c r="A4" s="3" t="s">
        <v>2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  <c r="I4" s="3" t="s">
        <v>167</v>
      </c>
      <c r="J4" s="3" t="s">
        <v>168</v>
      </c>
      <c r="K4" s="3" t="s">
        <v>169</v>
      </c>
      <c r="L4" s="3" t="s">
        <v>170</v>
      </c>
      <c r="M4" s="3" t="s">
        <v>171</v>
      </c>
      <c r="N4" s="3" t="s">
        <v>172</v>
      </c>
      <c r="O4" s="3" t="s">
        <v>173</v>
      </c>
      <c r="P4" s="3" t="s">
        <v>174</v>
      </c>
      <c r="Q4" s="3" t="s">
        <v>175</v>
      </c>
    </row>
    <row r="5" spans="1:17" ht="42" customHeight="1" x14ac:dyDescent="0.25">
      <c r="A5" s="4" t="s">
        <v>176</v>
      </c>
      <c r="B5" s="5">
        <f>IF($B$2="","",$B$2+0)</f>
        <v>46069</v>
      </c>
      <c r="C5" s="4" t="s">
        <v>177</v>
      </c>
      <c r="D5" s="11" t="s">
        <v>178</v>
      </c>
      <c r="E5" s="11" t="s">
        <v>179</v>
      </c>
      <c r="F5" s="4" t="s">
        <v>180</v>
      </c>
      <c r="G5" s="4" t="s">
        <v>181</v>
      </c>
      <c r="H5" s="4" t="s">
        <v>156</v>
      </c>
      <c r="I5" s="11" t="s">
        <v>182</v>
      </c>
      <c r="J5" s="4" t="s">
        <v>183</v>
      </c>
      <c r="K5" s="4" t="s">
        <v>183</v>
      </c>
      <c r="L5" s="6"/>
      <c r="M5" s="6"/>
      <c r="N5" s="6"/>
      <c r="O5" s="6"/>
      <c r="P5" s="6"/>
      <c r="Q5" s="12"/>
    </row>
    <row r="6" spans="1:17" ht="42" customHeight="1" x14ac:dyDescent="0.25">
      <c r="A6" s="4" t="s">
        <v>184</v>
      </c>
      <c r="B6" s="5">
        <f>IF($B$2="","",$B$2+1)</f>
        <v>46070</v>
      </c>
      <c r="C6" s="4" t="s">
        <v>185</v>
      </c>
      <c r="D6" s="11" t="s">
        <v>186</v>
      </c>
      <c r="E6" s="11" t="s">
        <v>187</v>
      </c>
      <c r="F6" s="4" t="s">
        <v>188</v>
      </c>
      <c r="G6" s="4"/>
      <c r="H6" s="4"/>
      <c r="I6" s="11" t="s">
        <v>189</v>
      </c>
      <c r="J6" s="4" t="s">
        <v>190</v>
      </c>
      <c r="K6" s="4" t="s">
        <v>190</v>
      </c>
      <c r="L6" s="6"/>
      <c r="M6" s="6"/>
      <c r="N6" s="6"/>
      <c r="O6" s="6"/>
      <c r="P6" s="6"/>
      <c r="Q6" s="12"/>
    </row>
    <row r="7" spans="1:17" ht="42" customHeight="1" x14ac:dyDescent="0.25">
      <c r="A7" s="4" t="s">
        <v>192</v>
      </c>
      <c r="B7" s="5">
        <f>IF($B$2="","",$B$2+2)</f>
        <v>46071</v>
      </c>
      <c r="C7" s="4" t="s">
        <v>193</v>
      </c>
      <c r="D7" s="11" t="s">
        <v>194</v>
      </c>
      <c r="E7" s="11" t="s">
        <v>195</v>
      </c>
      <c r="F7" s="4" t="s">
        <v>196</v>
      </c>
      <c r="G7" s="4"/>
      <c r="H7" s="4"/>
      <c r="I7" s="11" t="s">
        <v>197</v>
      </c>
      <c r="J7" s="4" t="s">
        <v>198</v>
      </c>
      <c r="K7" s="4" t="s">
        <v>198</v>
      </c>
      <c r="L7" s="6"/>
      <c r="M7" s="6"/>
      <c r="N7" s="6"/>
      <c r="O7" s="6"/>
      <c r="P7" s="6"/>
      <c r="Q7" s="12"/>
    </row>
    <row r="8" spans="1:17" ht="42" customHeight="1" x14ac:dyDescent="0.25">
      <c r="A8" s="4" t="s">
        <v>199</v>
      </c>
      <c r="B8" s="5">
        <f>IF($B$2="","",$B$2+3)</f>
        <v>46072</v>
      </c>
      <c r="C8" s="4" t="s">
        <v>200</v>
      </c>
      <c r="D8" s="11" t="s">
        <v>201</v>
      </c>
      <c r="E8" s="11" t="s">
        <v>202</v>
      </c>
      <c r="F8" s="4" t="s">
        <v>203</v>
      </c>
      <c r="G8" s="4" t="s">
        <v>204</v>
      </c>
      <c r="H8" s="4" t="s">
        <v>156</v>
      </c>
      <c r="I8" s="11" t="s">
        <v>205</v>
      </c>
      <c r="J8" s="4" t="s">
        <v>183</v>
      </c>
      <c r="K8" s="4" t="s">
        <v>183</v>
      </c>
      <c r="L8" s="6"/>
      <c r="M8" s="6"/>
      <c r="N8" s="6"/>
      <c r="O8" s="6"/>
      <c r="P8" s="6"/>
      <c r="Q8" s="12"/>
    </row>
    <row r="9" spans="1:17" ht="42" customHeight="1" x14ac:dyDescent="0.25">
      <c r="A9" s="4" t="s">
        <v>206</v>
      </c>
      <c r="B9" s="5">
        <f>IF($B$2="","",$B$2+4)</f>
        <v>46073</v>
      </c>
      <c r="C9" s="14">
        <v>0.625</v>
      </c>
      <c r="D9" s="11" t="s">
        <v>186</v>
      </c>
      <c r="E9" s="11" t="s">
        <v>187</v>
      </c>
      <c r="F9" s="4" t="s">
        <v>188</v>
      </c>
      <c r="G9" s="4"/>
      <c r="H9" s="4"/>
      <c r="I9" s="11" t="s">
        <v>189</v>
      </c>
      <c r="J9" s="4" t="s">
        <v>190</v>
      </c>
      <c r="K9" s="4" t="s">
        <v>190</v>
      </c>
      <c r="L9" s="6"/>
      <c r="M9" s="6"/>
      <c r="N9" s="6"/>
      <c r="O9" s="6"/>
      <c r="P9" s="6"/>
      <c r="Q9" s="12"/>
    </row>
    <row r="10" spans="1:17" ht="42" customHeight="1" x14ac:dyDescent="0.25">
      <c r="A10" s="4" t="s">
        <v>207</v>
      </c>
      <c r="B10" s="5">
        <f>IF($B$2="","",$B$2+5)</f>
        <v>46074</v>
      </c>
      <c r="C10" s="14">
        <v>0.5</v>
      </c>
      <c r="D10" s="11" t="s">
        <v>208</v>
      </c>
      <c r="E10" s="11" t="s">
        <v>209</v>
      </c>
      <c r="F10" s="4" t="s">
        <v>210</v>
      </c>
      <c r="G10" s="4" t="s">
        <v>211</v>
      </c>
      <c r="H10" s="4"/>
      <c r="I10" s="11" t="s">
        <v>212</v>
      </c>
      <c r="J10" s="4" t="s">
        <v>213</v>
      </c>
      <c r="K10" s="4" t="s">
        <v>213</v>
      </c>
      <c r="L10" s="6"/>
      <c r="M10" s="6"/>
      <c r="N10" s="6"/>
      <c r="O10" s="6"/>
      <c r="P10" s="6"/>
      <c r="Q10" s="12"/>
    </row>
    <row r="11" spans="1:17" ht="42" customHeight="1" x14ac:dyDescent="0.25">
      <c r="A11" s="4" t="s">
        <v>214</v>
      </c>
      <c r="B11" s="5">
        <f>IF($B$2="","",$B$2+6)</f>
        <v>46075</v>
      </c>
      <c r="C11" s="4" t="s">
        <v>215</v>
      </c>
      <c r="D11" s="11" t="s">
        <v>216</v>
      </c>
      <c r="E11" s="11" t="s">
        <v>217</v>
      </c>
      <c r="F11" s="4" t="s">
        <v>218</v>
      </c>
      <c r="G11" s="4"/>
      <c r="H11" s="4"/>
      <c r="I11" s="11" t="s">
        <v>219</v>
      </c>
      <c r="J11" s="4" t="s">
        <v>220</v>
      </c>
      <c r="K11" s="4" t="s">
        <v>220</v>
      </c>
      <c r="L11" s="6"/>
      <c r="M11" s="6"/>
      <c r="N11" s="6"/>
      <c r="O11" s="6"/>
      <c r="P11" s="6"/>
      <c r="Q11" s="12"/>
    </row>
    <row r="13" spans="1:17" s="17" customFormat="1" x14ac:dyDescent="0.25">
      <c r="A13" s="27" t="s">
        <v>221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1:17" s="17" customFormat="1" x14ac:dyDescent="0.25">
      <c r="A14" s="1" t="s">
        <v>222</v>
      </c>
      <c r="B14" s="1" t="s">
        <v>223</v>
      </c>
      <c r="C14" s="1" t="s">
        <v>275</v>
      </c>
      <c r="D14" s="1" t="s">
        <v>225</v>
      </c>
      <c r="E14" s="1" t="s">
        <v>226</v>
      </c>
      <c r="F14" s="31" t="s">
        <v>26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</row>
    <row r="15" spans="1:17" s="17" customFormat="1" x14ac:dyDescent="0.25">
      <c r="A15" s="4" t="s">
        <v>227</v>
      </c>
      <c r="B15" s="4" t="s">
        <v>228</v>
      </c>
      <c r="C15" s="4">
        <v>12</v>
      </c>
      <c r="D15" s="6"/>
      <c r="E15" s="6"/>
      <c r="F15" s="45" t="s">
        <v>269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</row>
    <row r="16" spans="1:17" s="17" customFormat="1" x14ac:dyDescent="0.25">
      <c r="A16" s="4" t="s">
        <v>229</v>
      </c>
      <c r="B16" s="4" t="s">
        <v>228</v>
      </c>
      <c r="C16" s="4">
        <v>12</v>
      </c>
      <c r="D16" s="6"/>
      <c r="E16" s="6"/>
      <c r="F16" s="45" t="s">
        <v>270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</row>
    <row r="17" spans="1:17" s="17" customFormat="1" x14ac:dyDescent="0.25">
      <c r="A17" s="4" t="s">
        <v>230</v>
      </c>
      <c r="B17" s="4" t="s">
        <v>228</v>
      </c>
      <c r="C17" s="4">
        <v>12</v>
      </c>
      <c r="D17" s="6"/>
      <c r="E17" s="6"/>
      <c r="F17" s="45" t="s">
        <v>271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</row>
    <row r="18" spans="1:17" s="17" customFormat="1" x14ac:dyDescent="0.25">
      <c r="A18" s="4" t="s">
        <v>268</v>
      </c>
      <c r="B18" s="4">
        <v>3</v>
      </c>
      <c r="C18" s="4">
        <v>12</v>
      </c>
      <c r="D18" s="6"/>
      <c r="E18" s="6"/>
      <c r="F18" s="45" t="s">
        <v>272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</row>
    <row r="19" spans="1:17" s="17" customFormat="1" x14ac:dyDescent="0.25">
      <c r="A19" s="4" t="s">
        <v>231</v>
      </c>
      <c r="B19" s="4" t="s">
        <v>228</v>
      </c>
      <c r="C19" s="4">
        <v>12</v>
      </c>
      <c r="D19" s="6"/>
      <c r="E19" s="6"/>
      <c r="F19" s="45" t="s">
        <v>273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4"/>
    </row>
    <row r="20" spans="1:17" s="17" customFormat="1" x14ac:dyDescent="0.25">
      <c r="A20" s="4" t="s">
        <v>233</v>
      </c>
      <c r="B20" s="4">
        <v>4</v>
      </c>
      <c r="C20" s="4">
        <v>12</v>
      </c>
      <c r="D20" s="6"/>
      <c r="E20" s="6"/>
      <c r="F20" s="23" t="s">
        <v>234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4"/>
    </row>
    <row r="21" spans="1:17" s="17" customFormat="1" x14ac:dyDescent="0.25">
      <c r="A21" s="4" t="s">
        <v>235</v>
      </c>
      <c r="B21" s="4">
        <v>4</v>
      </c>
      <c r="C21" s="4">
        <v>12</v>
      </c>
      <c r="D21" s="6"/>
      <c r="E21" s="6"/>
      <c r="F21" s="23" t="s">
        <v>234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4"/>
    </row>
    <row r="22" spans="1:17" s="17" customFormat="1" x14ac:dyDescent="0.25">
      <c r="A22" s="4" t="s">
        <v>232</v>
      </c>
      <c r="B22" s="4">
        <v>3</v>
      </c>
      <c r="C22" s="4" t="s">
        <v>274</v>
      </c>
      <c r="D22" s="6"/>
      <c r="E22" s="6"/>
      <c r="F22" s="45" t="s">
        <v>276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4"/>
    </row>
    <row r="23" spans="1:17" s="17" customFormat="1" x14ac:dyDescent="0.25">
      <c r="A23" s="4" t="s">
        <v>236</v>
      </c>
      <c r="B23" s="4" t="s">
        <v>228</v>
      </c>
      <c r="C23" s="4" t="s">
        <v>237</v>
      </c>
      <c r="D23" s="6" t="s">
        <v>238</v>
      </c>
      <c r="E23" s="6"/>
      <c r="F23" s="23" t="s">
        <v>239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1:17" s="17" customFormat="1" x14ac:dyDescent="0.25">
      <c r="A24" s="4" t="s">
        <v>240</v>
      </c>
      <c r="B24" s="4">
        <v>3</v>
      </c>
      <c r="C24" s="4" t="s">
        <v>278</v>
      </c>
      <c r="D24" s="6" t="s">
        <v>238</v>
      </c>
      <c r="E24" s="6"/>
      <c r="F24" s="23" t="s">
        <v>277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4"/>
    </row>
    <row r="25" spans="1:17" s="17" customFormat="1" x14ac:dyDescent="0.25"/>
    <row r="26" spans="1:17" s="17" customFormat="1" x14ac:dyDescent="0.25">
      <c r="A26" s="27" t="s">
        <v>241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7" s="17" customFormat="1" x14ac:dyDescent="0.25">
      <c r="A27" s="1" t="s">
        <v>222</v>
      </c>
      <c r="B27" s="1" t="s">
        <v>223</v>
      </c>
      <c r="C27" s="1" t="s">
        <v>224</v>
      </c>
      <c r="D27" s="1" t="s">
        <v>225</v>
      </c>
      <c r="E27" s="1" t="s">
        <v>226</v>
      </c>
      <c r="F27" s="31" t="s">
        <v>26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4"/>
    </row>
    <row r="28" spans="1:17" s="17" customFormat="1" x14ac:dyDescent="0.25">
      <c r="A28" s="4" t="s">
        <v>227</v>
      </c>
      <c r="B28" s="4" t="s">
        <v>228</v>
      </c>
      <c r="C28" s="4">
        <v>12</v>
      </c>
      <c r="D28" s="6"/>
      <c r="E28" s="6"/>
      <c r="F28" s="45" t="s">
        <v>269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4"/>
    </row>
    <row r="29" spans="1:17" s="17" customFormat="1" x14ac:dyDescent="0.25">
      <c r="A29" s="4" t="s">
        <v>229</v>
      </c>
      <c r="B29" s="4" t="s">
        <v>228</v>
      </c>
      <c r="C29" s="4">
        <v>12</v>
      </c>
      <c r="D29" s="6"/>
      <c r="E29" s="6"/>
      <c r="F29" s="45" t="s">
        <v>270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4"/>
    </row>
    <row r="30" spans="1:17" s="17" customFormat="1" x14ac:dyDescent="0.25">
      <c r="A30" s="4" t="s">
        <v>230</v>
      </c>
      <c r="B30" s="4" t="s">
        <v>228</v>
      </c>
      <c r="C30" s="4">
        <v>12</v>
      </c>
      <c r="D30" s="6"/>
      <c r="E30" s="6"/>
      <c r="F30" s="45" t="s">
        <v>271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4"/>
    </row>
    <row r="31" spans="1:17" s="17" customFormat="1" x14ac:dyDescent="0.25">
      <c r="A31" s="4" t="s">
        <v>268</v>
      </c>
      <c r="B31" s="4">
        <v>3</v>
      </c>
      <c r="C31" s="4">
        <v>12</v>
      </c>
      <c r="D31" s="6"/>
      <c r="E31" s="6"/>
      <c r="F31" s="45" t="s">
        <v>272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/>
    </row>
    <row r="32" spans="1:17" s="17" customFormat="1" x14ac:dyDescent="0.25">
      <c r="A32" s="4" t="s">
        <v>231</v>
      </c>
      <c r="B32" s="4" t="s">
        <v>228</v>
      </c>
      <c r="C32" s="4">
        <v>12</v>
      </c>
      <c r="D32" s="6"/>
      <c r="E32" s="6"/>
      <c r="F32" s="45" t="s">
        <v>273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</row>
    <row r="33" spans="1:17" s="17" customFormat="1" x14ac:dyDescent="0.25">
      <c r="A33" s="4" t="s">
        <v>233</v>
      </c>
      <c r="B33" s="4">
        <v>4</v>
      </c>
      <c r="C33" s="4">
        <v>12</v>
      </c>
      <c r="D33" s="6"/>
      <c r="E33" s="6"/>
      <c r="F33" s="23" t="s">
        <v>234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</row>
    <row r="34" spans="1:17" s="17" customFormat="1" x14ac:dyDescent="0.25">
      <c r="A34" s="4" t="s">
        <v>235</v>
      </c>
      <c r="B34" s="4">
        <v>4</v>
      </c>
      <c r="C34" s="4">
        <v>12</v>
      </c>
      <c r="D34" s="6"/>
      <c r="E34" s="6"/>
      <c r="F34" s="23" t="s">
        <v>234</v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4"/>
    </row>
    <row r="35" spans="1:17" s="17" customFormat="1" x14ac:dyDescent="0.25">
      <c r="A35" s="4" t="s">
        <v>232</v>
      </c>
      <c r="B35" s="4">
        <v>3</v>
      </c>
      <c r="C35" s="4" t="s">
        <v>274</v>
      </c>
      <c r="D35" s="6"/>
      <c r="E35" s="6"/>
      <c r="F35" s="45" t="s">
        <v>276</v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4"/>
    </row>
    <row r="36" spans="1:17" s="17" customFormat="1" x14ac:dyDescent="0.25">
      <c r="A36" s="4" t="s">
        <v>236</v>
      </c>
      <c r="B36" s="4" t="s">
        <v>228</v>
      </c>
      <c r="C36" s="4" t="s">
        <v>237</v>
      </c>
      <c r="D36" s="6" t="s">
        <v>238</v>
      </c>
      <c r="E36" s="6"/>
      <c r="F36" s="23" t="s">
        <v>239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4"/>
    </row>
    <row r="37" spans="1:17" s="17" customFormat="1" x14ac:dyDescent="0.25">
      <c r="A37" s="4" t="s">
        <v>240</v>
      </c>
      <c r="B37" s="4">
        <v>3</v>
      </c>
      <c r="C37" s="4" t="s">
        <v>278</v>
      </c>
      <c r="D37" s="6" t="s">
        <v>238</v>
      </c>
      <c r="E37" s="6"/>
      <c r="F37" s="23" t="s">
        <v>277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</row>
    <row r="39" spans="1:17" x14ac:dyDescent="0.25">
      <c r="A39" s="27" t="s">
        <v>242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</row>
    <row r="40" spans="1:17" x14ac:dyDescent="0.25">
      <c r="A40" s="1" t="s">
        <v>243</v>
      </c>
      <c r="B40" s="1" t="s">
        <v>244</v>
      </c>
      <c r="C40" s="1" t="s">
        <v>245</v>
      </c>
      <c r="D40" s="1" t="s">
        <v>246</v>
      </c>
      <c r="E40" s="1" t="s">
        <v>172</v>
      </c>
      <c r="F40" s="31" t="s">
        <v>26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7"/>
    </row>
    <row r="41" spans="1:17" ht="31.9" customHeight="1" x14ac:dyDescent="0.25">
      <c r="A41" s="4" t="s">
        <v>247</v>
      </c>
      <c r="B41" s="6" t="s">
        <v>260</v>
      </c>
      <c r="C41" s="6" t="s">
        <v>261</v>
      </c>
      <c r="D41" s="6" t="s">
        <v>250</v>
      </c>
      <c r="E41" s="6"/>
      <c r="F41" s="23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7"/>
    </row>
    <row r="43" spans="1:17" x14ac:dyDescent="0.25">
      <c r="A43" s="27" t="s">
        <v>251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</row>
    <row r="44" spans="1:17" ht="19.899999999999999" customHeight="1" x14ac:dyDescent="0.25">
      <c r="A44" s="13" t="s">
        <v>252</v>
      </c>
      <c r="B44" s="48"/>
      <c r="C44" s="46"/>
      <c r="D44" s="47"/>
      <c r="E44" s="48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7"/>
    </row>
    <row r="45" spans="1:17" ht="19.899999999999999" customHeight="1" x14ac:dyDescent="0.25">
      <c r="A45" s="13" t="s">
        <v>253</v>
      </c>
      <c r="B45" s="48"/>
      <c r="C45" s="46"/>
      <c r="D45" s="47"/>
      <c r="E45" s="48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</row>
    <row r="46" spans="1:17" ht="19.899999999999999" customHeight="1" x14ac:dyDescent="0.25">
      <c r="A46" s="13" t="s">
        <v>254</v>
      </c>
      <c r="B46" s="48"/>
      <c r="C46" s="46"/>
      <c r="D46" s="47"/>
      <c r="E46" s="48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7"/>
    </row>
    <row r="47" spans="1:17" ht="19.899999999999999" customHeight="1" x14ac:dyDescent="0.25">
      <c r="A47" s="13" t="s">
        <v>255</v>
      </c>
      <c r="B47" s="48"/>
      <c r="C47" s="46"/>
      <c r="D47" s="47"/>
      <c r="E47" s="48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7"/>
    </row>
    <row r="48" spans="1:17" ht="19.899999999999999" customHeight="1" x14ac:dyDescent="0.25">
      <c r="A48" s="13" t="s">
        <v>256</v>
      </c>
      <c r="B48" s="48"/>
      <c r="C48" s="46"/>
      <c r="D48" s="47"/>
      <c r="E48" s="4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7"/>
    </row>
    <row r="49" spans="1:17" ht="19.899999999999999" customHeight="1" x14ac:dyDescent="0.25">
      <c r="A49" s="13" t="s">
        <v>257</v>
      </c>
      <c r="B49" s="48"/>
      <c r="C49" s="46"/>
      <c r="D49" s="47"/>
      <c r="E49" s="4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7"/>
    </row>
    <row r="50" spans="1:17" ht="19.899999999999999" customHeight="1" x14ac:dyDescent="0.25">
      <c r="A50" s="13" t="s">
        <v>258</v>
      </c>
      <c r="B50" s="48"/>
      <c r="C50" s="46"/>
      <c r="D50" s="47"/>
      <c r="E50" s="4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7"/>
    </row>
    <row r="51" spans="1:17" ht="19.899999999999999" customHeight="1" x14ac:dyDescent="0.25">
      <c r="A51" s="13" t="s">
        <v>26</v>
      </c>
      <c r="B51" s="48"/>
      <c r="C51" s="46"/>
      <c r="D51" s="47"/>
      <c r="E51" s="4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7"/>
    </row>
  </sheetData>
  <mergeCells count="46">
    <mergeCell ref="B51:D51"/>
    <mergeCell ref="B45:D45"/>
    <mergeCell ref="B50:D50"/>
    <mergeCell ref="E48:Q48"/>
    <mergeCell ref="E51:Q51"/>
    <mergeCell ref="E44:Q44"/>
    <mergeCell ref="B47:D47"/>
    <mergeCell ref="B46:D46"/>
    <mergeCell ref="A43:Q43"/>
    <mergeCell ref="F40:Q40"/>
    <mergeCell ref="B48:D48"/>
    <mergeCell ref="E47:Q47"/>
    <mergeCell ref="B49:D49"/>
    <mergeCell ref="E50:Q50"/>
    <mergeCell ref="E49:Q49"/>
    <mergeCell ref="E46:Q46"/>
    <mergeCell ref="F41:Q41"/>
    <mergeCell ref="F17:Q17"/>
    <mergeCell ref="F35:Q35"/>
    <mergeCell ref="A1:N1"/>
    <mergeCell ref="F23:Q23"/>
    <mergeCell ref="F28:Q28"/>
    <mergeCell ref="A13:Q13"/>
    <mergeCell ref="F14:Q14"/>
    <mergeCell ref="F21:Q21"/>
    <mergeCell ref="F16:Q16"/>
    <mergeCell ref="F19:Q19"/>
    <mergeCell ref="H2:N2"/>
    <mergeCell ref="F15:Q15"/>
    <mergeCell ref="F18:Q18"/>
    <mergeCell ref="F33:Q33"/>
    <mergeCell ref="F32:Q32"/>
    <mergeCell ref="F24:Q24"/>
    <mergeCell ref="F20:Q20"/>
    <mergeCell ref="E45:Q45"/>
    <mergeCell ref="A39:Q39"/>
    <mergeCell ref="F36:Q36"/>
    <mergeCell ref="B44:D44"/>
    <mergeCell ref="F22:Q22"/>
    <mergeCell ref="A26:Q26"/>
    <mergeCell ref="F27:Q27"/>
    <mergeCell ref="F29:Q29"/>
    <mergeCell ref="F30:Q30"/>
    <mergeCell ref="F31:Q31"/>
    <mergeCell ref="F34:Q34"/>
    <mergeCell ref="F37:Q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1"/>
  <sheetViews>
    <sheetView showGridLines="0" topLeftCell="A9" workbookViewId="0">
      <selection activeCell="A13" sqref="A13:XFD37"/>
    </sheetView>
  </sheetViews>
  <sheetFormatPr defaultColWidth="8.85546875" defaultRowHeight="15" x14ac:dyDescent="0.25"/>
  <cols>
    <col min="1" max="1" width="25.140625" style="17" customWidth="1"/>
    <col min="2" max="3" width="15.7109375" style="17" customWidth="1"/>
    <col min="4" max="4" width="20" style="17" customWidth="1"/>
    <col min="5" max="5" width="26" style="17" customWidth="1"/>
    <col min="6" max="6" width="18.7109375" style="17" customWidth="1"/>
    <col min="7" max="7" width="10" style="17" customWidth="1"/>
    <col min="8" max="8" width="9" style="17" customWidth="1"/>
    <col min="9" max="9" width="22.140625" style="17" customWidth="1"/>
    <col min="10" max="11" width="10" style="17" customWidth="1"/>
    <col min="12" max="12" width="12" style="17" customWidth="1"/>
    <col min="13" max="13" width="10" style="17" customWidth="1"/>
    <col min="14" max="15" width="7.85546875" style="17" customWidth="1"/>
    <col min="16" max="16" width="6" style="17" customWidth="1"/>
    <col min="17" max="17" width="28" style="17" customWidth="1"/>
    <col min="18" max="18" width="8.85546875" style="17" customWidth="1"/>
    <col min="19" max="16384" width="8.85546875" style="17"/>
  </cols>
  <sheetData>
    <row r="1" spans="1:17" ht="21" customHeight="1" x14ac:dyDescent="0.25">
      <c r="A1" s="29" t="s">
        <v>262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7" x14ac:dyDescent="0.25">
      <c r="A2" s="20" t="s">
        <v>154</v>
      </c>
      <c r="B2" s="21">
        <v>46076</v>
      </c>
      <c r="C2" s="20" t="s">
        <v>155</v>
      </c>
      <c r="D2" s="22" t="s">
        <v>156</v>
      </c>
      <c r="E2" s="20" t="s">
        <v>157</v>
      </c>
      <c r="F2" s="22" t="s">
        <v>158</v>
      </c>
      <c r="G2" s="20" t="s">
        <v>159</v>
      </c>
      <c r="H2" s="32"/>
      <c r="I2" s="30"/>
      <c r="J2" s="30"/>
      <c r="K2" s="30"/>
      <c r="L2" s="30"/>
      <c r="M2" s="30"/>
      <c r="N2" s="30"/>
    </row>
    <row r="4" spans="1:17" ht="28.15" customHeight="1" x14ac:dyDescent="0.25">
      <c r="A4" s="3" t="s">
        <v>2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  <c r="I4" s="3" t="s">
        <v>167</v>
      </c>
      <c r="J4" s="3" t="s">
        <v>168</v>
      </c>
      <c r="K4" s="3" t="s">
        <v>169</v>
      </c>
      <c r="L4" s="3" t="s">
        <v>170</v>
      </c>
      <c r="M4" s="3" t="s">
        <v>171</v>
      </c>
      <c r="N4" s="3" t="s">
        <v>172</v>
      </c>
      <c r="O4" s="3" t="s">
        <v>173</v>
      </c>
      <c r="P4" s="3" t="s">
        <v>174</v>
      </c>
      <c r="Q4" s="3" t="s">
        <v>175</v>
      </c>
    </row>
    <row r="5" spans="1:17" ht="42" customHeight="1" x14ac:dyDescent="0.25">
      <c r="A5" s="4" t="s">
        <v>176</v>
      </c>
      <c r="B5" s="5">
        <f>IF($B$2="","",$B$2+0)</f>
        <v>46076</v>
      </c>
      <c r="C5" s="4" t="s">
        <v>177</v>
      </c>
      <c r="D5" s="4" t="s">
        <v>178</v>
      </c>
      <c r="E5" s="4" t="s">
        <v>179</v>
      </c>
      <c r="F5" s="4" t="s">
        <v>180</v>
      </c>
      <c r="G5" s="4" t="s">
        <v>181</v>
      </c>
      <c r="H5" s="4" t="s">
        <v>156</v>
      </c>
      <c r="I5" s="4" t="s">
        <v>182</v>
      </c>
      <c r="J5" s="4" t="s">
        <v>183</v>
      </c>
      <c r="K5" s="4" t="s">
        <v>183</v>
      </c>
      <c r="L5" s="6"/>
      <c r="M5" s="6"/>
      <c r="N5" s="6"/>
      <c r="O5" s="6"/>
      <c r="P5" s="6"/>
      <c r="Q5" s="6"/>
    </row>
    <row r="6" spans="1:17" ht="42" customHeight="1" x14ac:dyDescent="0.25">
      <c r="A6" s="4" t="s">
        <v>184</v>
      </c>
      <c r="B6" s="5">
        <f>IF($B$2="","",$B$2+1)</f>
        <v>46077</v>
      </c>
      <c r="C6" s="4" t="s">
        <v>185</v>
      </c>
      <c r="D6" s="4" t="s">
        <v>186</v>
      </c>
      <c r="E6" s="4" t="s">
        <v>187</v>
      </c>
      <c r="F6" s="4" t="s">
        <v>188</v>
      </c>
      <c r="G6" s="4"/>
      <c r="H6" s="4"/>
      <c r="I6" s="4" t="s">
        <v>189</v>
      </c>
      <c r="J6" s="4" t="s">
        <v>190</v>
      </c>
      <c r="K6" s="4" t="s">
        <v>190</v>
      </c>
      <c r="L6" s="6"/>
      <c r="M6" s="6"/>
      <c r="N6" s="6"/>
      <c r="O6" s="6"/>
      <c r="P6" s="6"/>
      <c r="Q6" s="6"/>
    </row>
    <row r="7" spans="1:17" ht="42" customHeight="1" x14ac:dyDescent="0.25">
      <c r="A7" s="4" t="s">
        <v>192</v>
      </c>
      <c r="B7" s="5">
        <f>IF($B$2="","",$B$2+2)</f>
        <v>46078</v>
      </c>
      <c r="C7" s="4" t="s">
        <v>193</v>
      </c>
      <c r="D7" s="4" t="s">
        <v>194</v>
      </c>
      <c r="E7" s="4" t="s">
        <v>195</v>
      </c>
      <c r="F7" s="4" t="s">
        <v>196</v>
      </c>
      <c r="G7" s="4"/>
      <c r="H7" s="4"/>
      <c r="I7" s="4" t="s">
        <v>197</v>
      </c>
      <c r="J7" s="4" t="s">
        <v>198</v>
      </c>
      <c r="K7" s="4" t="s">
        <v>198</v>
      </c>
      <c r="L7" s="6"/>
      <c r="M7" s="6"/>
      <c r="N7" s="6"/>
      <c r="O7" s="6"/>
      <c r="P7" s="6"/>
      <c r="Q7" s="6"/>
    </row>
    <row r="8" spans="1:17" ht="42" customHeight="1" x14ac:dyDescent="0.25">
      <c r="A8" s="4" t="s">
        <v>199</v>
      </c>
      <c r="B8" s="5">
        <f>IF($B$2="","",$B$2+3)</f>
        <v>46079</v>
      </c>
      <c r="C8" s="4" t="s">
        <v>200</v>
      </c>
      <c r="D8" s="4" t="s">
        <v>201</v>
      </c>
      <c r="E8" s="4" t="s">
        <v>202</v>
      </c>
      <c r="F8" s="4" t="s">
        <v>203</v>
      </c>
      <c r="G8" s="4" t="s">
        <v>204</v>
      </c>
      <c r="H8" s="4" t="s">
        <v>156</v>
      </c>
      <c r="I8" s="4" t="s">
        <v>205</v>
      </c>
      <c r="J8" s="4" t="s">
        <v>183</v>
      </c>
      <c r="K8" s="4" t="s">
        <v>183</v>
      </c>
      <c r="L8" s="6"/>
      <c r="M8" s="6"/>
      <c r="N8" s="6"/>
      <c r="O8" s="6"/>
      <c r="P8" s="6"/>
      <c r="Q8" s="6"/>
    </row>
    <row r="9" spans="1:17" ht="42" customHeight="1" x14ac:dyDescent="0.25">
      <c r="A9" s="4" t="s">
        <v>206</v>
      </c>
      <c r="B9" s="5">
        <f>IF($B$2="","",$B$2+4)</f>
        <v>46080</v>
      </c>
      <c r="C9" s="14">
        <v>0.625</v>
      </c>
      <c r="D9" s="4" t="s">
        <v>186</v>
      </c>
      <c r="E9" s="4" t="s">
        <v>187</v>
      </c>
      <c r="F9" s="4" t="s">
        <v>188</v>
      </c>
      <c r="G9" s="4"/>
      <c r="H9" s="4"/>
      <c r="I9" s="4" t="s">
        <v>189</v>
      </c>
      <c r="J9" s="4" t="s">
        <v>190</v>
      </c>
      <c r="K9" s="4" t="s">
        <v>190</v>
      </c>
      <c r="L9" s="6"/>
      <c r="M9" s="6"/>
      <c r="N9" s="6"/>
      <c r="O9" s="6"/>
      <c r="P9" s="6"/>
      <c r="Q9" s="6"/>
    </row>
    <row r="10" spans="1:17" ht="42" customHeight="1" x14ac:dyDescent="0.25">
      <c r="A10" s="4" t="s">
        <v>207</v>
      </c>
      <c r="B10" s="5">
        <f>IF($B$2="","",$B$2+5)</f>
        <v>46081</v>
      </c>
      <c r="C10" s="14">
        <v>0.5</v>
      </c>
      <c r="D10" s="4" t="s">
        <v>208</v>
      </c>
      <c r="E10" s="4" t="s">
        <v>209</v>
      </c>
      <c r="F10" s="4" t="s">
        <v>210</v>
      </c>
      <c r="G10" s="4" t="s">
        <v>211</v>
      </c>
      <c r="H10" s="4"/>
      <c r="I10" s="4" t="s">
        <v>212</v>
      </c>
      <c r="J10" s="4" t="s">
        <v>213</v>
      </c>
      <c r="K10" s="4" t="s">
        <v>213</v>
      </c>
      <c r="L10" s="6"/>
      <c r="M10" s="6"/>
      <c r="N10" s="6"/>
      <c r="O10" s="6"/>
      <c r="P10" s="6"/>
      <c r="Q10" s="6"/>
    </row>
    <row r="11" spans="1:17" ht="42" customHeight="1" x14ac:dyDescent="0.25">
      <c r="A11" s="4" t="s">
        <v>214</v>
      </c>
      <c r="B11" s="5">
        <f>IF($B$2="","",$B$2+6)</f>
        <v>46082</v>
      </c>
      <c r="C11" s="4" t="s">
        <v>215</v>
      </c>
      <c r="D11" s="4" t="s">
        <v>216</v>
      </c>
      <c r="E11" s="4" t="s">
        <v>217</v>
      </c>
      <c r="F11" s="4" t="s">
        <v>218</v>
      </c>
      <c r="G11" s="4"/>
      <c r="H11" s="4"/>
      <c r="I11" s="4" t="s">
        <v>219</v>
      </c>
      <c r="J11" s="4" t="s">
        <v>220</v>
      </c>
      <c r="K11" s="4" t="s">
        <v>220</v>
      </c>
      <c r="L11" s="6"/>
      <c r="M11" s="6"/>
      <c r="N11" s="6"/>
      <c r="O11" s="6"/>
      <c r="P11" s="6"/>
      <c r="Q11" s="6"/>
    </row>
    <row r="13" spans="1:17" x14ac:dyDescent="0.25">
      <c r="A13" s="27" t="s">
        <v>221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1:17" x14ac:dyDescent="0.25">
      <c r="A14" s="1" t="s">
        <v>222</v>
      </c>
      <c r="B14" s="1" t="s">
        <v>223</v>
      </c>
      <c r="C14" s="1" t="s">
        <v>275</v>
      </c>
      <c r="D14" s="1" t="s">
        <v>225</v>
      </c>
      <c r="E14" s="1" t="s">
        <v>226</v>
      </c>
      <c r="F14" s="31" t="s">
        <v>26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</row>
    <row r="15" spans="1:17" x14ac:dyDescent="0.25">
      <c r="A15" s="4" t="s">
        <v>227</v>
      </c>
      <c r="B15" s="4" t="s">
        <v>228</v>
      </c>
      <c r="C15" s="4">
        <v>12</v>
      </c>
      <c r="D15" s="6"/>
      <c r="E15" s="6"/>
      <c r="F15" s="45" t="s">
        <v>269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</row>
    <row r="16" spans="1:17" x14ac:dyDescent="0.25">
      <c r="A16" s="4" t="s">
        <v>229</v>
      </c>
      <c r="B16" s="4" t="s">
        <v>228</v>
      </c>
      <c r="C16" s="4">
        <v>12</v>
      </c>
      <c r="D16" s="6"/>
      <c r="E16" s="6"/>
      <c r="F16" s="45" t="s">
        <v>270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</row>
    <row r="17" spans="1:17" x14ac:dyDescent="0.25">
      <c r="A17" s="4" t="s">
        <v>230</v>
      </c>
      <c r="B17" s="4" t="s">
        <v>228</v>
      </c>
      <c r="C17" s="4">
        <v>12</v>
      </c>
      <c r="D17" s="6"/>
      <c r="E17" s="6"/>
      <c r="F17" s="45" t="s">
        <v>271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</row>
    <row r="18" spans="1:17" x14ac:dyDescent="0.25">
      <c r="A18" s="4" t="s">
        <v>268</v>
      </c>
      <c r="B18" s="4">
        <v>3</v>
      </c>
      <c r="C18" s="4">
        <v>12</v>
      </c>
      <c r="D18" s="6"/>
      <c r="E18" s="6"/>
      <c r="F18" s="45" t="s">
        <v>272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</row>
    <row r="19" spans="1:17" x14ac:dyDescent="0.25">
      <c r="A19" s="4" t="s">
        <v>231</v>
      </c>
      <c r="B19" s="4" t="s">
        <v>228</v>
      </c>
      <c r="C19" s="4">
        <v>12</v>
      </c>
      <c r="D19" s="6"/>
      <c r="E19" s="6"/>
      <c r="F19" s="45" t="s">
        <v>273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4"/>
    </row>
    <row r="20" spans="1:17" x14ac:dyDescent="0.25">
      <c r="A20" s="4" t="s">
        <v>233</v>
      </c>
      <c r="B20" s="4">
        <v>4</v>
      </c>
      <c r="C20" s="4">
        <v>12</v>
      </c>
      <c r="D20" s="6"/>
      <c r="E20" s="6"/>
      <c r="F20" s="23" t="s">
        <v>234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4"/>
    </row>
    <row r="21" spans="1:17" x14ac:dyDescent="0.25">
      <c r="A21" s="4" t="s">
        <v>235</v>
      </c>
      <c r="B21" s="4">
        <v>4</v>
      </c>
      <c r="C21" s="4">
        <v>12</v>
      </c>
      <c r="D21" s="6"/>
      <c r="E21" s="6"/>
      <c r="F21" s="23" t="s">
        <v>234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4"/>
    </row>
    <row r="22" spans="1:17" x14ac:dyDescent="0.25">
      <c r="A22" s="4" t="s">
        <v>232</v>
      </c>
      <c r="B22" s="4">
        <v>3</v>
      </c>
      <c r="C22" s="4" t="s">
        <v>274</v>
      </c>
      <c r="D22" s="6"/>
      <c r="E22" s="6"/>
      <c r="F22" s="45" t="s">
        <v>276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4"/>
    </row>
    <row r="23" spans="1:17" x14ac:dyDescent="0.25">
      <c r="A23" s="4" t="s">
        <v>236</v>
      </c>
      <c r="B23" s="4" t="s">
        <v>228</v>
      </c>
      <c r="C23" s="4" t="s">
        <v>237</v>
      </c>
      <c r="D23" s="6" t="s">
        <v>238</v>
      </c>
      <c r="E23" s="6"/>
      <c r="F23" s="23" t="s">
        <v>239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1:17" x14ac:dyDescent="0.25">
      <c r="A24" s="4" t="s">
        <v>240</v>
      </c>
      <c r="B24" s="4">
        <v>3</v>
      </c>
      <c r="C24" s="4" t="s">
        <v>278</v>
      </c>
      <c r="D24" s="6" t="s">
        <v>238</v>
      </c>
      <c r="E24" s="6"/>
      <c r="F24" s="23" t="s">
        <v>277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4"/>
    </row>
    <row r="26" spans="1:17" x14ac:dyDescent="0.25">
      <c r="A26" s="27" t="s">
        <v>241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7" x14ac:dyDescent="0.25">
      <c r="A27" s="1" t="s">
        <v>222</v>
      </c>
      <c r="B27" s="1" t="s">
        <v>223</v>
      </c>
      <c r="C27" s="1" t="s">
        <v>224</v>
      </c>
      <c r="D27" s="1" t="s">
        <v>225</v>
      </c>
      <c r="E27" s="1" t="s">
        <v>226</v>
      </c>
      <c r="F27" s="31" t="s">
        <v>26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4"/>
    </row>
    <row r="28" spans="1:17" x14ac:dyDescent="0.25">
      <c r="A28" s="4" t="s">
        <v>227</v>
      </c>
      <c r="B28" s="4" t="s">
        <v>228</v>
      </c>
      <c r="C28" s="4">
        <v>12</v>
      </c>
      <c r="D28" s="6"/>
      <c r="E28" s="6"/>
      <c r="F28" s="45" t="s">
        <v>269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4"/>
    </row>
    <row r="29" spans="1:17" x14ac:dyDescent="0.25">
      <c r="A29" s="4" t="s">
        <v>229</v>
      </c>
      <c r="B29" s="4" t="s">
        <v>228</v>
      </c>
      <c r="C29" s="4">
        <v>12</v>
      </c>
      <c r="D29" s="6"/>
      <c r="E29" s="6"/>
      <c r="F29" s="45" t="s">
        <v>270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4"/>
    </row>
    <row r="30" spans="1:17" x14ac:dyDescent="0.25">
      <c r="A30" s="4" t="s">
        <v>230</v>
      </c>
      <c r="B30" s="4" t="s">
        <v>228</v>
      </c>
      <c r="C30" s="4">
        <v>12</v>
      </c>
      <c r="D30" s="6"/>
      <c r="E30" s="6"/>
      <c r="F30" s="45" t="s">
        <v>271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4"/>
    </row>
    <row r="31" spans="1:17" x14ac:dyDescent="0.25">
      <c r="A31" s="4" t="s">
        <v>268</v>
      </c>
      <c r="B31" s="4">
        <v>3</v>
      </c>
      <c r="C31" s="4">
        <v>12</v>
      </c>
      <c r="D31" s="6"/>
      <c r="E31" s="6"/>
      <c r="F31" s="45" t="s">
        <v>272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/>
    </row>
    <row r="32" spans="1:17" x14ac:dyDescent="0.25">
      <c r="A32" s="4" t="s">
        <v>231</v>
      </c>
      <c r="B32" s="4" t="s">
        <v>228</v>
      </c>
      <c r="C32" s="4">
        <v>12</v>
      </c>
      <c r="D32" s="6"/>
      <c r="E32" s="6"/>
      <c r="F32" s="45" t="s">
        <v>273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</row>
    <row r="33" spans="1:17" x14ac:dyDescent="0.25">
      <c r="A33" s="4" t="s">
        <v>233</v>
      </c>
      <c r="B33" s="4">
        <v>4</v>
      </c>
      <c r="C33" s="4">
        <v>12</v>
      </c>
      <c r="D33" s="6"/>
      <c r="E33" s="6"/>
      <c r="F33" s="23" t="s">
        <v>234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</row>
    <row r="34" spans="1:17" x14ac:dyDescent="0.25">
      <c r="A34" s="4" t="s">
        <v>235</v>
      </c>
      <c r="B34" s="4">
        <v>4</v>
      </c>
      <c r="C34" s="4">
        <v>12</v>
      </c>
      <c r="D34" s="6"/>
      <c r="E34" s="6"/>
      <c r="F34" s="23" t="s">
        <v>234</v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4"/>
    </row>
    <row r="35" spans="1:17" x14ac:dyDescent="0.25">
      <c r="A35" s="4" t="s">
        <v>232</v>
      </c>
      <c r="B35" s="4">
        <v>3</v>
      </c>
      <c r="C35" s="4" t="s">
        <v>274</v>
      </c>
      <c r="D35" s="6"/>
      <c r="E35" s="6"/>
      <c r="F35" s="45" t="s">
        <v>276</v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4"/>
    </row>
    <row r="36" spans="1:17" x14ac:dyDescent="0.25">
      <c r="A36" s="4" t="s">
        <v>236</v>
      </c>
      <c r="B36" s="4" t="s">
        <v>228</v>
      </c>
      <c r="C36" s="4" t="s">
        <v>237</v>
      </c>
      <c r="D36" s="6" t="s">
        <v>238</v>
      </c>
      <c r="E36" s="6"/>
      <c r="F36" s="23" t="s">
        <v>239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4"/>
    </row>
    <row r="37" spans="1:17" x14ac:dyDescent="0.25">
      <c r="A37" s="4" t="s">
        <v>240</v>
      </c>
      <c r="B37" s="4">
        <v>3</v>
      </c>
      <c r="C37" s="4" t="s">
        <v>278</v>
      </c>
      <c r="D37" s="6" t="s">
        <v>238</v>
      </c>
      <c r="E37" s="6"/>
      <c r="F37" s="23" t="s">
        <v>277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</row>
    <row r="39" spans="1:17" x14ac:dyDescent="0.25">
      <c r="A39" s="27" t="s">
        <v>242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5">
      <c r="A40" s="1" t="s">
        <v>243</v>
      </c>
      <c r="B40" s="1" t="s">
        <v>244</v>
      </c>
      <c r="C40" s="1" t="s">
        <v>245</v>
      </c>
      <c r="D40" s="1" t="s">
        <v>246</v>
      </c>
      <c r="E40" s="1" t="s">
        <v>172</v>
      </c>
      <c r="F40" s="31" t="s">
        <v>26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</row>
    <row r="41" spans="1:17" ht="42" customHeight="1" x14ac:dyDescent="0.25">
      <c r="A41" s="4" t="s">
        <v>247</v>
      </c>
      <c r="B41" s="6" t="s">
        <v>263</v>
      </c>
      <c r="C41" s="6" t="s">
        <v>261</v>
      </c>
      <c r="D41" s="6" t="s">
        <v>250</v>
      </c>
      <c r="E41" s="6"/>
      <c r="F41" s="23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</row>
    <row r="43" spans="1:17" x14ac:dyDescent="0.25">
      <c r="A43" s="27" t="s">
        <v>251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ht="19.899999999999999" customHeight="1" x14ac:dyDescent="0.25">
      <c r="A44" s="13" t="s">
        <v>252</v>
      </c>
      <c r="B44" s="26"/>
      <c r="C44" s="24"/>
      <c r="D44" s="25"/>
      <c r="E44" s="26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</row>
    <row r="45" spans="1:17" ht="19.899999999999999" customHeight="1" x14ac:dyDescent="0.25">
      <c r="A45" s="13" t="s">
        <v>253</v>
      </c>
      <c r="B45" s="26"/>
      <c r="C45" s="24"/>
      <c r="D45" s="25"/>
      <c r="E45" s="26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</row>
    <row r="46" spans="1:17" ht="19.899999999999999" customHeight="1" x14ac:dyDescent="0.25">
      <c r="A46" s="13" t="s">
        <v>254</v>
      </c>
      <c r="B46" s="26"/>
      <c r="C46" s="24"/>
      <c r="D46" s="25"/>
      <c r="E46" s="26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</row>
    <row r="47" spans="1:17" ht="19.899999999999999" customHeight="1" x14ac:dyDescent="0.25">
      <c r="A47" s="13" t="s">
        <v>255</v>
      </c>
      <c r="B47" s="26"/>
      <c r="C47" s="24"/>
      <c r="D47" s="25"/>
      <c r="E47" s="26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</row>
    <row r="48" spans="1:17" ht="19.899999999999999" customHeight="1" x14ac:dyDescent="0.25">
      <c r="A48" s="13" t="s">
        <v>256</v>
      </c>
      <c r="B48" s="26"/>
      <c r="C48" s="24"/>
      <c r="D48" s="25"/>
      <c r="E48" s="26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</row>
    <row r="49" spans="1:17" ht="19.899999999999999" customHeight="1" x14ac:dyDescent="0.25">
      <c r="A49" s="13" t="s">
        <v>257</v>
      </c>
      <c r="B49" s="26"/>
      <c r="C49" s="24"/>
      <c r="D49" s="25"/>
      <c r="E49" s="26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</row>
    <row r="50" spans="1:17" ht="19.899999999999999" customHeight="1" x14ac:dyDescent="0.25">
      <c r="A50" s="13" t="s">
        <v>258</v>
      </c>
      <c r="B50" s="26"/>
      <c r="C50" s="24"/>
      <c r="D50" s="25"/>
      <c r="E50" s="26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5"/>
    </row>
    <row r="51" spans="1:17" ht="19.899999999999999" customHeight="1" x14ac:dyDescent="0.25">
      <c r="A51" s="13" t="s">
        <v>26</v>
      </c>
      <c r="B51" s="26"/>
      <c r="C51" s="24"/>
      <c r="D51" s="25"/>
      <c r="E51" s="26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</row>
  </sheetData>
  <mergeCells count="46">
    <mergeCell ref="B51:D51"/>
    <mergeCell ref="B45:D45"/>
    <mergeCell ref="B50:D50"/>
    <mergeCell ref="E48:Q48"/>
    <mergeCell ref="E51:Q51"/>
    <mergeCell ref="E44:Q44"/>
    <mergeCell ref="B47:D47"/>
    <mergeCell ref="B46:D46"/>
    <mergeCell ref="A43:Q43"/>
    <mergeCell ref="F40:Q40"/>
    <mergeCell ref="B48:D48"/>
    <mergeCell ref="E47:Q47"/>
    <mergeCell ref="B49:D49"/>
    <mergeCell ref="E50:Q50"/>
    <mergeCell ref="E49:Q49"/>
    <mergeCell ref="E46:Q46"/>
    <mergeCell ref="F41:Q41"/>
    <mergeCell ref="F17:Q17"/>
    <mergeCell ref="F35:Q35"/>
    <mergeCell ref="A1:N1"/>
    <mergeCell ref="F23:Q23"/>
    <mergeCell ref="F28:Q28"/>
    <mergeCell ref="A13:Q13"/>
    <mergeCell ref="F14:Q14"/>
    <mergeCell ref="F21:Q21"/>
    <mergeCell ref="F16:Q16"/>
    <mergeCell ref="F19:Q19"/>
    <mergeCell ref="H2:N2"/>
    <mergeCell ref="F15:Q15"/>
    <mergeCell ref="F18:Q18"/>
    <mergeCell ref="F33:Q33"/>
    <mergeCell ref="F32:Q32"/>
    <mergeCell ref="F24:Q24"/>
    <mergeCell ref="F20:Q20"/>
    <mergeCell ref="E45:Q45"/>
    <mergeCell ref="A39:Q39"/>
    <mergeCell ref="F36:Q36"/>
    <mergeCell ref="B44:D44"/>
    <mergeCell ref="F22:Q22"/>
    <mergeCell ref="A26:Q26"/>
    <mergeCell ref="F27:Q27"/>
    <mergeCell ref="F29:Q29"/>
    <mergeCell ref="F30:Q30"/>
    <mergeCell ref="F31:Q31"/>
    <mergeCell ref="F34:Q34"/>
    <mergeCell ref="F37:Q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1"/>
  <sheetViews>
    <sheetView showGridLines="0" tabSelected="1" topLeftCell="A9" workbookViewId="0">
      <selection activeCell="D15" sqref="D15"/>
    </sheetView>
  </sheetViews>
  <sheetFormatPr defaultColWidth="8.85546875" defaultRowHeight="15" x14ac:dyDescent="0.25"/>
  <cols>
    <col min="1" max="1" width="29.140625" style="7" customWidth="1"/>
    <col min="2" max="2" width="14.28515625" style="7" customWidth="1"/>
    <col min="3" max="3" width="18.42578125" style="7" customWidth="1"/>
    <col min="4" max="4" width="20" style="7" customWidth="1"/>
    <col min="5" max="5" width="26" style="7" customWidth="1"/>
    <col min="6" max="6" width="12" style="7" customWidth="1"/>
    <col min="7" max="7" width="10" style="7" customWidth="1"/>
    <col min="8" max="8" width="9" style="7" customWidth="1"/>
    <col min="9" max="9" width="22.140625" style="7" customWidth="1"/>
    <col min="10" max="11" width="10" style="7" customWidth="1"/>
    <col min="12" max="12" width="12" style="7" customWidth="1"/>
    <col min="13" max="13" width="10" style="7" customWidth="1"/>
    <col min="14" max="15" width="7.85546875" style="7" customWidth="1"/>
    <col min="16" max="16" width="6" style="7" customWidth="1"/>
    <col min="17" max="17" width="28" style="7" customWidth="1"/>
    <col min="18" max="18" width="8.85546875" style="7" customWidth="1"/>
    <col min="19" max="16384" width="8.85546875" style="7"/>
  </cols>
  <sheetData>
    <row r="1" spans="1:17" ht="21" customHeight="1" x14ac:dyDescent="0.35">
      <c r="A1" s="50" t="s">
        <v>264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x14ac:dyDescent="0.25">
      <c r="A2" s="8" t="s">
        <v>154</v>
      </c>
      <c r="B2" s="9">
        <v>46083</v>
      </c>
      <c r="C2" s="8" t="s">
        <v>155</v>
      </c>
      <c r="D2" s="10" t="s">
        <v>156</v>
      </c>
      <c r="E2" s="8" t="s">
        <v>157</v>
      </c>
      <c r="F2" s="10" t="s">
        <v>158</v>
      </c>
      <c r="G2" s="8" t="s">
        <v>159</v>
      </c>
      <c r="H2" s="52"/>
      <c r="I2" s="51"/>
      <c r="J2" s="51"/>
      <c r="K2" s="51"/>
      <c r="L2" s="51"/>
      <c r="M2" s="51"/>
      <c r="N2" s="51"/>
    </row>
    <row r="4" spans="1:17" ht="28.15" customHeight="1" x14ac:dyDescent="0.25">
      <c r="A4" s="3" t="s">
        <v>2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  <c r="I4" s="3" t="s">
        <v>167</v>
      </c>
      <c r="J4" s="3" t="s">
        <v>168</v>
      </c>
      <c r="K4" s="3" t="s">
        <v>169</v>
      </c>
      <c r="L4" s="3" t="s">
        <v>170</v>
      </c>
      <c r="M4" s="3" t="s">
        <v>171</v>
      </c>
      <c r="N4" s="3" t="s">
        <v>172</v>
      </c>
      <c r="O4" s="3" t="s">
        <v>173</v>
      </c>
      <c r="P4" s="3" t="s">
        <v>174</v>
      </c>
      <c r="Q4" s="3" t="s">
        <v>175</v>
      </c>
    </row>
    <row r="5" spans="1:17" ht="42" customHeight="1" x14ac:dyDescent="0.25">
      <c r="A5" s="4" t="s">
        <v>176</v>
      </c>
      <c r="B5" s="5">
        <f>IF($B$2="","",$B$2+0)</f>
        <v>46083</v>
      </c>
      <c r="C5" s="4" t="s">
        <v>177</v>
      </c>
      <c r="D5" s="11" t="s">
        <v>178</v>
      </c>
      <c r="E5" s="11" t="s">
        <v>179</v>
      </c>
      <c r="F5" s="4" t="s">
        <v>180</v>
      </c>
      <c r="G5" s="4" t="s">
        <v>181</v>
      </c>
      <c r="H5" s="4" t="s">
        <v>156</v>
      </c>
      <c r="I5" s="11" t="s">
        <v>182</v>
      </c>
      <c r="J5" s="4" t="s">
        <v>183</v>
      </c>
      <c r="K5" s="4" t="s">
        <v>183</v>
      </c>
      <c r="L5" s="6"/>
      <c r="M5" s="6"/>
      <c r="N5" s="6"/>
      <c r="O5" s="6"/>
      <c r="P5" s="6"/>
      <c r="Q5" s="12"/>
    </row>
    <row r="6" spans="1:17" ht="42" customHeight="1" x14ac:dyDescent="0.25">
      <c r="A6" s="4" t="s">
        <v>184</v>
      </c>
      <c r="B6" s="5">
        <f>IF($B$2="","",$B$2+1)</f>
        <v>46084</v>
      </c>
      <c r="C6" s="4" t="s">
        <v>185</v>
      </c>
      <c r="D6" s="11" t="s">
        <v>186</v>
      </c>
      <c r="E6" s="11" t="s">
        <v>187</v>
      </c>
      <c r="F6" s="4" t="s">
        <v>188</v>
      </c>
      <c r="G6" s="4"/>
      <c r="H6" s="4"/>
      <c r="I6" s="11" t="s">
        <v>189</v>
      </c>
      <c r="J6" s="4" t="s">
        <v>190</v>
      </c>
      <c r="K6" s="4" t="s">
        <v>190</v>
      </c>
      <c r="L6" s="6"/>
      <c r="M6" s="6"/>
      <c r="N6" s="6"/>
      <c r="O6" s="6"/>
      <c r="P6" s="6"/>
      <c r="Q6" s="12"/>
    </row>
    <row r="7" spans="1:17" ht="42" customHeight="1" x14ac:dyDescent="0.25">
      <c r="A7" s="4" t="s">
        <v>192</v>
      </c>
      <c r="B7" s="5">
        <f>IF($B$2="","",$B$2+2)</f>
        <v>46085</v>
      </c>
      <c r="C7" s="4" t="s">
        <v>193</v>
      </c>
      <c r="D7" s="11" t="s">
        <v>194</v>
      </c>
      <c r="E7" s="11" t="s">
        <v>195</v>
      </c>
      <c r="F7" s="4" t="s">
        <v>196</v>
      </c>
      <c r="G7" s="4"/>
      <c r="H7" s="4"/>
      <c r="I7" s="11" t="s">
        <v>197</v>
      </c>
      <c r="J7" s="4" t="s">
        <v>198</v>
      </c>
      <c r="K7" s="4" t="s">
        <v>198</v>
      </c>
      <c r="L7" s="6"/>
      <c r="M7" s="6"/>
      <c r="N7" s="6"/>
      <c r="O7" s="6"/>
      <c r="P7" s="6"/>
      <c r="Q7" s="12"/>
    </row>
    <row r="8" spans="1:17" ht="42" customHeight="1" x14ac:dyDescent="0.25">
      <c r="A8" s="4" t="s">
        <v>199</v>
      </c>
      <c r="B8" s="5">
        <f>IF($B$2="","",$B$2+3)</f>
        <v>46086</v>
      </c>
      <c r="C8" s="4" t="s">
        <v>200</v>
      </c>
      <c r="D8" s="11" t="s">
        <v>201</v>
      </c>
      <c r="E8" s="11" t="s">
        <v>202</v>
      </c>
      <c r="F8" s="4" t="s">
        <v>203</v>
      </c>
      <c r="G8" s="4" t="s">
        <v>204</v>
      </c>
      <c r="H8" s="4" t="s">
        <v>156</v>
      </c>
      <c r="I8" s="11" t="s">
        <v>205</v>
      </c>
      <c r="J8" s="4" t="s">
        <v>183</v>
      </c>
      <c r="K8" s="4" t="s">
        <v>183</v>
      </c>
      <c r="L8" s="6"/>
      <c r="M8" s="6"/>
      <c r="N8" s="6"/>
      <c r="O8" s="6"/>
      <c r="P8" s="6"/>
      <c r="Q8" s="12"/>
    </row>
    <row r="9" spans="1:17" ht="42" customHeight="1" x14ac:dyDescent="0.25">
      <c r="A9" s="4" t="s">
        <v>206</v>
      </c>
      <c r="B9" s="5">
        <f>IF($B$2="","",$B$2+4)</f>
        <v>46087</v>
      </c>
      <c r="C9" s="14">
        <v>0.625</v>
      </c>
      <c r="D9" s="11" t="s">
        <v>186</v>
      </c>
      <c r="E9" s="11" t="s">
        <v>187</v>
      </c>
      <c r="F9" s="4" t="s">
        <v>188</v>
      </c>
      <c r="G9" s="4"/>
      <c r="H9" s="4"/>
      <c r="I9" s="11" t="s">
        <v>189</v>
      </c>
      <c r="J9" s="4" t="s">
        <v>190</v>
      </c>
      <c r="K9" s="4" t="s">
        <v>190</v>
      </c>
      <c r="L9" s="6"/>
      <c r="M9" s="6"/>
      <c r="N9" s="6"/>
      <c r="O9" s="6"/>
      <c r="P9" s="6"/>
      <c r="Q9" s="12"/>
    </row>
    <row r="10" spans="1:17" ht="42" customHeight="1" x14ac:dyDescent="0.25">
      <c r="A10" s="4" t="s">
        <v>207</v>
      </c>
      <c r="B10" s="5">
        <f>IF($B$2="","",$B$2+5)</f>
        <v>46088</v>
      </c>
      <c r="C10" s="14">
        <v>0.5</v>
      </c>
      <c r="D10" s="11" t="s">
        <v>208</v>
      </c>
      <c r="E10" s="11" t="s">
        <v>209</v>
      </c>
      <c r="F10" s="4" t="s">
        <v>210</v>
      </c>
      <c r="G10" s="4" t="s">
        <v>211</v>
      </c>
      <c r="H10" s="4"/>
      <c r="I10" s="11" t="s">
        <v>212</v>
      </c>
      <c r="J10" s="4" t="s">
        <v>213</v>
      </c>
      <c r="K10" s="4" t="s">
        <v>213</v>
      </c>
      <c r="L10" s="6"/>
      <c r="M10" s="6"/>
      <c r="N10" s="6"/>
      <c r="O10" s="6"/>
      <c r="P10" s="6"/>
      <c r="Q10" s="12"/>
    </row>
    <row r="11" spans="1:17" ht="42" customHeight="1" x14ac:dyDescent="0.25">
      <c r="A11" s="4" t="s">
        <v>214</v>
      </c>
      <c r="B11" s="5">
        <f>IF($B$2="","",$B$2+6)</f>
        <v>46089</v>
      </c>
      <c r="C11" s="4" t="s">
        <v>215</v>
      </c>
      <c r="D11" s="11" t="s">
        <v>216</v>
      </c>
      <c r="E11" s="11" t="s">
        <v>217</v>
      </c>
      <c r="F11" s="4" t="s">
        <v>218</v>
      </c>
      <c r="G11" s="4"/>
      <c r="H11" s="4"/>
      <c r="I11" s="11" t="s">
        <v>219</v>
      </c>
      <c r="J11" s="4" t="s">
        <v>220</v>
      </c>
      <c r="K11" s="4" t="s">
        <v>220</v>
      </c>
      <c r="L11" s="6"/>
      <c r="M11" s="6"/>
      <c r="N11" s="6"/>
      <c r="O11" s="6"/>
      <c r="P11" s="6"/>
      <c r="Q11" s="12"/>
    </row>
    <row r="13" spans="1:17" s="17" customFormat="1" x14ac:dyDescent="0.25">
      <c r="A13" s="27" t="s">
        <v>221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1:17" s="17" customFormat="1" x14ac:dyDescent="0.25">
      <c r="A14" s="1" t="s">
        <v>222</v>
      </c>
      <c r="B14" s="1" t="s">
        <v>223</v>
      </c>
      <c r="C14" s="1" t="s">
        <v>275</v>
      </c>
      <c r="D14" s="1" t="s">
        <v>225</v>
      </c>
      <c r="E14" s="1" t="s">
        <v>226</v>
      </c>
      <c r="F14" s="31" t="s">
        <v>26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</row>
    <row r="15" spans="1:17" s="17" customFormat="1" x14ac:dyDescent="0.25">
      <c r="A15" s="4" t="s">
        <v>227</v>
      </c>
      <c r="B15" s="4" t="s">
        <v>228</v>
      </c>
      <c r="C15" s="4">
        <v>12</v>
      </c>
      <c r="D15" s="6"/>
      <c r="E15" s="6"/>
      <c r="F15" s="45" t="s">
        <v>269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</row>
    <row r="16" spans="1:17" s="17" customFormat="1" x14ac:dyDescent="0.25">
      <c r="A16" s="4" t="s">
        <v>229</v>
      </c>
      <c r="B16" s="4" t="s">
        <v>228</v>
      </c>
      <c r="C16" s="4">
        <v>12</v>
      </c>
      <c r="D16" s="6"/>
      <c r="E16" s="6"/>
      <c r="F16" s="45" t="s">
        <v>270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</row>
    <row r="17" spans="1:17" s="17" customFormat="1" x14ac:dyDescent="0.25">
      <c r="A17" s="4" t="s">
        <v>230</v>
      </c>
      <c r="B17" s="4" t="s">
        <v>228</v>
      </c>
      <c r="C17" s="4">
        <v>12</v>
      </c>
      <c r="D17" s="6"/>
      <c r="E17" s="6"/>
      <c r="F17" s="45" t="s">
        <v>271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</row>
    <row r="18" spans="1:17" s="17" customFormat="1" x14ac:dyDescent="0.25">
      <c r="A18" s="4" t="s">
        <v>268</v>
      </c>
      <c r="B18" s="4">
        <v>3</v>
      </c>
      <c r="C18" s="4">
        <v>12</v>
      </c>
      <c r="D18" s="6"/>
      <c r="E18" s="6"/>
      <c r="F18" s="45" t="s">
        <v>272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</row>
    <row r="19" spans="1:17" s="17" customFormat="1" x14ac:dyDescent="0.25">
      <c r="A19" s="4" t="s">
        <v>231</v>
      </c>
      <c r="B19" s="4" t="s">
        <v>228</v>
      </c>
      <c r="C19" s="4">
        <v>12</v>
      </c>
      <c r="D19" s="6"/>
      <c r="E19" s="6"/>
      <c r="F19" s="45" t="s">
        <v>273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4"/>
    </row>
    <row r="20" spans="1:17" s="17" customFormat="1" x14ac:dyDescent="0.25">
      <c r="A20" s="4" t="s">
        <v>233</v>
      </c>
      <c r="B20" s="4">
        <v>4</v>
      </c>
      <c r="C20" s="4">
        <v>12</v>
      </c>
      <c r="D20" s="6"/>
      <c r="E20" s="6"/>
      <c r="F20" s="23" t="s">
        <v>234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4"/>
    </row>
    <row r="21" spans="1:17" s="17" customFormat="1" x14ac:dyDescent="0.25">
      <c r="A21" s="4" t="s">
        <v>235</v>
      </c>
      <c r="B21" s="4">
        <v>4</v>
      </c>
      <c r="C21" s="4">
        <v>12</v>
      </c>
      <c r="D21" s="6"/>
      <c r="E21" s="6"/>
      <c r="F21" s="23" t="s">
        <v>234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4"/>
    </row>
    <row r="22" spans="1:17" s="17" customFormat="1" x14ac:dyDescent="0.25">
      <c r="A22" s="4" t="s">
        <v>232</v>
      </c>
      <c r="B22" s="4">
        <v>3</v>
      </c>
      <c r="C22" s="4" t="s">
        <v>274</v>
      </c>
      <c r="D22" s="6"/>
      <c r="E22" s="6"/>
      <c r="F22" s="45" t="s">
        <v>276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4"/>
    </row>
    <row r="23" spans="1:17" s="17" customFormat="1" x14ac:dyDescent="0.25">
      <c r="A23" s="4" t="s">
        <v>236</v>
      </c>
      <c r="B23" s="4" t="s">
        <v>228</v>
      </c>
      <c r="C23" s="4" t="s">
        <v>237</v>
      </c>
      <c r="D23" s="6" t="s">
        <v>238</v>
      </c>
      <c r="E23" s="6"/>
      <c r="F23" s="23" t="s">
        <v>239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1:17" s="17" customFormat="1" x14ac:dyDescent="0.25">
      <c r="A24" s="4" t="s">
        <v>240</v>
      </c>
      <c r="B24" s="4">
        <v>3</v>
      </c>
      <c r="C24" s="4" t="s">
        <v>278</v>
      </c>
      <c r="D24" s="6" t="s">
        <v>238</v>
      </c>
      <c r="E24" s="6"/>
      <c r="F24" s="23" t="s">
        <v>277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4"/>
    </row>
    <row r="25" spans="1:17" s="17" customFormat="1" x14ac:dyDescent="0.25"/>
    <row r="26" spans="1:17" s="17" customFormat="1" x14ac:dyDescent="0.25">
      <c r="A26" s="27" t="s">
        <v>241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7" s="17" customFormat="1" x14ac:dyDescent="0.25">
      <c r="A27" s="1" t="s">
        <v>222</v>
      </c>
      <c r="B27" s="1" t="s">
        <v>223</v>
      </c>
      <c r="C27" s="1" t="s">
        <v>224</v>
      </c>
      <c r="D27" s="1" t="s">
        <v>225</v>
      </c>
      <c r="E27" s="1" t="s">
        <v>226</v>
      </c>
      <c r="F27" s="31" t="s">
        <v>26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4"/>
    </row>
    <row r="28" spans="1:17" s="17" customFormat="1" x14ac:dyDescent="0.25">
      <c r="A28" s="4" t="s">
        <v>227</v>
      </c>
      <c r="B28" s="4" t="s">
        <v>228</v>
      </c>
      <c r="C28" s="4">
        <v>12</v>
      </c>
      <c r="D28" s="6"/>
      <c r="E28" s="6"/>
      <c r="F28" s="45" t="s">
        <v>269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4"/>
    </row>
    <row r="29" spans="1:17" s="17" customFormat="1" x14ac:dyDescent="0.25">
      <c r="A29" s="4" t="s">
        <v>229</v>
      </c>
      <c r="B29" s="4" t="s">
        <v>228</v>
      </c>
      <c r="C29" s="4">
        <v>12</v>
      </c>
      <c r="D29" s="6"/>
      <c r="E29" s="6"/>
      <c r="F29" s="45" t="s">
        <v>270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4"/>
    </row>
    <row r="30" spans="1:17" s="17" customFormat="1" x14ac:dyDescent="0.25">
      <c r="A30" s="4" t="s">
        <v>230</v>
      </c>
      <c r="B30" s="4" t="s">
        <v>228</v>
      </c>
      <c r="C30" s="4">
        <v>12</v>
      </c>
      <c r="D30" s="6"/>
      <c r="E30" s="6"/>
      <c r="F30" s="45" t="s">
        <v>271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4"/>
    </row>
    <row r="31" spans="1:17" s="17" customFormat="1" x14ac:dyDescent="0.25">
      <c r="A31" s="4" t="s">
        <v>268</v>
      </c>
      <c r="B31" s="4">
        <v>3</v>
      </c>
      <c r="C31" s="4">
        <v>12</v>
      </c>
      <c r="D31" s="6"/>
      <c r="E31" s="6"/>
      <c r="F31" s="45" t="s">
        <v>272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/>
    </row>
    <row r="32" spans="1:17" s="17" customFormat="1" x14ac:dyDescent="0.25">
      <c r="A32" s="4" t="s">
        <v>231</v>
      </c>
      <c r="B32" s="4" t="s">
        <v>228</v>
      </c>
      <c r="C32" s="4">
        <v>12</v>
      </c>
      <c r="D32" s="6"/>
      <c r="E32" s="6"/>
      <c r="F32" s="45" t="s">
        <v>273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</row>
    <row r="33" spans="1:17" s="17" customFormat="1" x14ac:dyDescent="0.25">
      <c r="A33" s="4" t="s">
        <v>233</v>
      </c>
      <c r="B33" s="4">
        <v>4</v>
      </c>
      <c r="C33" s="4">
        <v>12</v>
      </c>
      <c r="D33" s="6"/>
      <c r="E33" s="6"/>
      <c r="F33" s="23" t="s">
        <v>234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</row>
    <row r="34" spans="1:17" s="17" customFormat="1" x14ac:dyDescent="0.25">
      <c r="A34" s="4" t="s">
        <v>235</v>
      </c>
      <c r="B34" s="4">
        <v>4</v>
      </c>
      <c r="C34" s="4">
        <v>12</v>
      </c>
      <c r="D34" s="6"/>
      <c r="E34" s="6"/>
      <c r="F34" s="23" t="s">
        <v>234</v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4"/>
    </row>
    <row r="35" spans="1:17" s="17" customFormat="1" x14ac:dyDescent="0.25">
      <c r="A35" s="4" t="s">
        <v>232</v>
      </c>
      <c r="B35" s="4">
        <v>3</v>
      </c>
      <c r="C35" s="4" t="s">
        <v>274</v>
      </c>
      <c r="D35" s="6"/>
      <c r="E35" s="6"/>
      <c r="F35" s="45" t="s">
        <v>276</v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4"/>
    </row>
    <row r="36" spans="1:17" s="17" customFormat="1" x14ac:dyDescent="0.25">
      <c r="A36" s="4" t="s">
        <v>236</v>
      </c>
      <c r="B36" s="4" t="s">
        <v>228</v>
      </c>
      <c r="C36" s="4" t="s">
        <v>237</v>
      </c>
      <c r="D36" s="6" t="s">
        <v>238</v>
      </c>
      <c r="E36" s="6"/>
      <c r="F36" s="23" t="s">
        <v>239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4"/>
    </row>
    <row r="37" spans="1:17" s="17" customFormat="1" x14ac:dyDescent="0.25">
      <c r="A37" s="4" t="s">
        <v>240</v>
      </c>
      <c r="B37" s="4">
        <v>3</v>
      </c>
      <c r="C37" s="4" t="s">
        <v>278</v>
      </c>
      <c r="D37" s="6" t="s">
        <v>238</v>
      </c>
      <c r="E37" s="6"/>
      <c r="F37" s="23" t="s">
        <v>277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</row>
    <row r="39" spans="1:17" x14ac:dyDescent="0.25">
      <c r="A39" s="27" t="s">
        <v>242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</row>
    <row r="40" spans="1:17" x14ac:dyDescent="0.25">
      <c r="A40" s="1" t="s">
        <v>243</v>
      </c>
      <c r="B40" s="1" t="s">
        <v>244</v>
      </c>
      <c r="C40" s="1" t="s">
        <v>245</v>
      </c>
      <c r="D40" s="1" t="s">
        <v>246</v>
      </c>
      <c r="E40" s="1" t="s">
        <v>172</v>
      </c>
      <c r="F40" s="31" t="s">
        <v>26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7"/>
    </row>
    <row r="41" spans="1:17" ht="41.45" customHeight="1" x14ac:dyDescent="0.25">
      <c r="A41" s="4" t="s">
        <v>247</v>
      </c>
      <c r="B41" s="6" t="s">
        <v>265</v>
      </c>
      <c r="C41" s="6" t="s">
        <v>261</v>
      </c>
      <c r="D41" s="6" t="s">
        <v>250</v>
      </c>
      <c r="E41" s="6"/>
      <c r="F41" s="23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7"/>
    </row>
    <row r="43" spans="1:17" x14ac:dyDescent="0.25">
      <c r="A43" s="27" t="s">
        <v>251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</row>
    <row r="44" spans="1:17" ht="19.899999999999999" customHeight="1" x14ac:dyDescent="0.25">
      <c r="A44" s="13" t="s">
        <v>252</v>
      </c>
      <c r="B44" s="48"/>
      <c r="C44" s="46"/>
      <c r="D44" s="47"/>
      <c r="E44" s="48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7"/>
    </row>
    <row r="45" spans="1:17" ht="19.899999999999999" customHeight="1" x14ac:dyDescent="0.25">
      <c r="A45" s="13" t="s">
        <v>253</v>
      </c>
      <c r="B45" s="48"/>
      <c r="C45" s="46"/>
      <c r="D45" s="47"/>
      <c r="E45" s="48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</row>
    <row r="46" spans="1:17" ht="19.899999999999999" customHeight="1" x14ac:dyDescent="0.25">
      <c r="A46" s="13" t="s">
        <v>254</v>
      </c>
      <c r="B46" s="48"/>
      <c r="C46" s="46"/>
      <c r="D46" s="47"/>
      <c r="E46" s="48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7"/>
    </row>
    <row r="47" spans="1:17" ht="19.899999999999999" customHeight="1" x14ac:dyDescent="0.25">
      <c r="A47" s="13" t="s">
        <v>255</v>
      </c>
      <c r="B47" s="48"/>
      <c r="C47" s="46"/>
      <c r="D47" s="47"/>
      <c r="E47" s="48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7"/>
    </row>
    <row r="48" spans="1:17" ht="19.899999999999999" customHeight="1" x14ac:dyDescent="0.25">
      <c r="A48" s="13" t="s">
        <v>256</v>
      </c>
      <c r="B48" s="48"/>
      <c r="C48" s="46"/>
      <c r="D48" s="47"/>
      <c r="E48" s="4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7"/>
    </row>
    <row r="49" spans="1:17" ht="19.899999999999999" customHeight="1" x14ac:dyDescent="0.25">
      <c r="A49" s="13" t="s">
        <v>257</v>
      </c>
      <c r="B49" s="48"/>
      <c r="C49" s="46"/>
      <c r="D49" s="47"/>
      <c r="E49" s="4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7"/>
    </row>
    <row r="50" spans="1:17" ht="19.899999999999999" customHeight="1" x14ac:dyDescent="0.25">
      <c r="A50" s="13" t="s">
        <v>258</v>
      </c>
      <c r="B50" s="48"/>
      <c r="C50" s="46"/>
      <c r="D50" s="47"/>
      <c r="E50" s="4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7"/>
    </row>
    <row r="51" spans="1:17" ht="19.899999999999999" customHeight="1" x14ac:dyDescent="0.25">
      <c r="A51" s="13" t="s">
        <v>26</v>
      </c>
      <c r="B51" s="48"/>
      <c r="C51" s="46"/>
      <c r="D51" s="47"/>
      <c r="E51" s="4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7"/>
    </row>
  </sheetData>
  <mergeCells count="46">
    <mergeCell ref="B51:D51"/>
    <mergeCell ref="B45:D45"/>
    <mergeCell ref="B50:D50"/>
    <mergeCell ref="E48:Q48"/>
    <mergeCell ref="E51:Q51"/>
    <mergeCell ref="E44:Q44"/>
    <mergeCell ref="B47:D47"/>
    <mergeCell ref="B46:D46"/>
    <mergeCell ref="A43:Q43"/>
    <mergeCell ref="F40:Q40"/>
    <mergeCell ref="B48:D48"/>
    <mergeCell ref="E49:Q49"/>
    <mergeCell ref="E47:Q47"/>
    <mergeCell ref="B49:D49"/>
    <mergeCell ref="E50:Q50"/>
    <mergeCell ref="E46:Q46"/>
    <mergeCell ref="F41:Q41"/>
    <mergeCell ref="F17:Q17"/>
    <mergeCell ref="F35:Q35"/>
    <mergeCell ref="A1:N1"/>
    <mergeCell ref="F23:Q23"/>
    <mergeCell ref="F28:Q28"/>
    <mergeCell ref="A13:Q13"/>
    <mergeCell ref="F14:Q14"/>
    <mergeCell ref="F21:Q21"/>
    <mergeCell ref="F16:Q16"/>
    <mergeCell ref="F19:Q19"/>
    <mergeCell ref="H2:N2"/>
    <mergeCell ref="F15:Q15"/>
    <mergeCell ref="F18:Q18"/>
    <mergeCell ref="F33:Q33"/>
    <mergeCell ref="F32:Q32"/>
    <mergeCell ref="F24:Q24"/>
    <mergeCell ref="F20:Q20"/>
    <mergeCell ref="E45:Q45"/>
    <mergeCell ref="A39:Q39"/>
    <mergeCell ref="F36:Q36"/>
    <mergeCell ref="B44:D44"/>
    <mergeCell ref="F31:Q31"/>
    <mergeCell ref="F22:Q22"/>
    <mergeCell ref="A26:Q26"/>
    <mergeCell ref="F27:Q27"/>
    <mergeCell ref="F29:Q29"/>
    <mergeCell ref="F30:Q30"/>
    <mergeCell ref="F34:Q34"/>
    <mergeCell ref="F37:Q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Meals_Weekly_Pattern</vt:lpstr>
      <vt:lpstr>Meal_Library</vt:lpstr>
      <vt:lpstr>Meals_3Day_Plan</vt:lpstr>
      <vt:lpstr>Templates</vt:lpstr>
      <vt:lpstr>Week 1</vt:lpstr>
      <vt:lpstr>Week 2</vt:lpstr>
      <vt:lpstr>Week 3</vt:lpstr>
      <vt:lpstr>Week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Hanna</cp:lastModifiedBy>
  <dcterms:created xsi:type="dcterms:W3CDTF">2026-03-03T05:25:37Z</dcterms:created>
  <dcterms:modified xsi:type="dcterms:W3CDTF">2026-03-11T03:16:09Z</dcterms:modified>
</cp:coreProperties>
</file>